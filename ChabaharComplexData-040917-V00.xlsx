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6182E9F-AEAB-4A3D-9866-C68C27E0781C}" xr6:coauthVersionLast="47" xr6:coauthVersionMax="47" xr10:uidLastSave="{00000000-0000-0000-0000-000000000000}"/>
  <bookViews>
    <workbookView xWindow="-120" yWindow="-120" windowWidth="29040" windowHeight="15840" xr2:uid="{2496B5DF-6529-4A74-A50F-614E875AF3C7}"/>
  </bookViews>
  <sheets>
    <sheet name="FA" sheetId="3" r:id="rId1"/>
    <sheet name="EN" sheetId="4" r:id="rId2"/>
  </sheets>
  <calcPr calcId="191029"/>
  <customWorkbookViews>
    <customWorkbookView name="ff" guid="{E4DB0B69-AD70-40F7-849F-B0D5091B5E1F}" maximized="1" xWindow="-8" yWindow="-8" windowWidth="1936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4" l="1"/>
  <c r="C50" i="4"/>
  <c r="C51" i="4"/>
  <c r="C52" i="4"/>
  <c r="C53" i="4"/>
  <c r="C54" i="4"/>
  <c r="C55" i="4"/>
  <c r="C48" i="4"/>
  <c r="C28" i="4"/>
  <c r="C18" i="4"/>
  <c r="C19" i="4"/>
  <c r="C20" i="4"/>
  <c r="C21" i="4"/>
  <c r="C22" i="4"/>
  <c r="C23" i="4"/>
  <c r="C24" i="4"/>
  <c r="C17" i="4"/>
  <c r="E49" i="3"/>
  <c r="E50" i="3"/>
  <c r="E51" i="3"/>
  <c r="E52" i="3"/>
  <c r="E53" i="3"/>
  <c r="E48" i="3"/>
  <c r="C60" i="4"/>
  <c r="C61" i="4"/>
  <c r="C62" i="4"/>
  <c r="C63" i="4"/>
  <c r="C64" i="4"/>
  <c r="C65" i="4"/>
  <c r="C66" i="4"/>
  <c r="C67" i="4"/>
  <c r="C68" i="4"/>
  <c r="C59" i="4"/>
  <c r="D54" i="3"/>
  <c r="D53" i="3"/>
  <c r="D52" i="3"/>
  <c r="D51" i="3"/>
  <c r="D50" i="3"/>
  <c r="D49" i="3"/>
  <c r="D48" i="3"/>
  <c r="D67" i="3"/>
  <c r="D59" i="3"/>
  <c r="D60" i="3"/>
  <c r="D61" i="3"/>
  <c r="D62" i="3"/>
  <c r="D63" i="3"/>
  <c r="D64" i="3"/>
  <c r="D65" i="3"/>
  <c r="D66" i="3"/>
  <c r="D58" i="3"/>
</calcChain>
</file>

<file path=xl/sharedStrings.xml><?xml version="1.0" encoding="utf-8"?>
<sst xmlns="http://schemas.openxmlformats.org/spreadsheetml/2006/main" count="267" uniqueCount="198">
  <si>
    <t>Industry:</t>
  </si>
  <si>
    <t>Sub-industry:</t>
  </si>
  <si>
    <t>Location:</t>
  </si>
  <si>
    <t>project description</t>
  </si>
  <si>
    <t>Project Execution status</t>
  </si>
  <si>
    <t>Financing status</t>
  </si>
  <si>
    <t xml:space="preserve">Key risks </t>
  </si>
  <si>
    <t>CapEx Breakdown</t>
  </si>
  <si>
    <t>Category</t>
  </si>
  <si>
    <t>amount</t>
  </si>
  <si>
    <t>Engineering &amp; know-how</t>
  </si>
  <si>
    <t>equipment</t>
  </si>
  <si>
    <t>Utilities</t>
  </si>
  <si>
    <t>Pre-operation expenses</t>
  </si>
  <si>
    <t>Contingencies</t>
  </si>
  <si>
    <t>working capital</t>
  </si>
  <si>
    <t>Project summary</t>
  </si>
  <si>
    <t>Investment analysis</t>
  </si>
  <si>
    <t>metric</t>
  </si>
  <si>
    <t>value</t>
  </si>
  <si>
    <t>% investment in foreign currency</t>
  </si>
  <si>
    <t>operating income (EBIT)</t>
  </si>
  <si>
    <t>Net income</t>
  </si>
  <si>
    <t>Internal rate of return (IRR)</t>
  </si>
  <si>
    <t>NPV at 10% Discount rate</t>
  </si>
  <si>
    <t xml:space="preserve">Product </t>
  </si>
  <si>
    <t>annual Revenue</t>
  </si>
  <si>
    <t>Target Market</t>
  </si>
  <si>
    <t>Expenses breakdown</t>
  </si>
  <si>
    <t>%</t>
  </si>
  <si>
    <t>Feed</t>
  </si>
  <si>
    <t>Personnel</t>
  </si>
  <si>
    <t>Marketing, Sales &amp; Logistics</t>
  </si>
  <si>
    <t>Other expanses</t>
  </si>
  <si>
    <t>Cash Flow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</si>
  <si>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</si>
  <si>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</si>
  <si>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</si>
  <si>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</si>
  <si>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</si>
  <si>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</si>
  <si>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</si>
  <si>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</si>
  <si>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</si>
  <si>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</si>
  <si>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 investment</t>
  </si>
  <si>
    <t>Project Completion Percentage:</t>
  </si>
  <si>
    <t>construction and commissioning</t>
  </si>
  <si>
    <t>Revenue Breakdown</t>
  </si>
  <si>
    <t>% revenue in Foreign currency</t>
  </si>
  <si>
    <t>Maintenance</t>
  </si>
  <si>
    <t>annual expenses</t>
  </si>
  <si>
    <t>% expenses in foreign currency</t>
  </si>
  <si>
    <t>Project ID</t>
  </si>
  <si>
    <t>construction period (years)</t>
  </si>
  <si>
    <t>payback period (years)</t>
  </si>
  <si>
    <t>Capacity (Unit of measure)</t>
  </si>
  <si>
    <t>Project Title:</t>
  </si>
  <si>
    <t>Project Sub Title:</t>
  </si>
  <si>
    <t>خلاصه پروژه</t>
  </si>
  <si>
    <t>صنعت</t>
  </si>
  <si>
    <t>زیرصنعت</t>
  </si>
  <si>
    <t>مکان</t>
  </si>
  <si>
    <t>وضعیت تامین مالی</t>
  </si>
  <si>
    <t>ریسک های اصلی</t>
  </si>
  <si>
    <t>مجموع سرمایه گذاری</t>
  </si>
  <si>
    <t>درصد ارزی کل سرمایه گذاری</t>
  </si>
  <si>
    <t>مهندسی و دانش فنی</t>
  </si>
  <si>
    <t>ماشین آلات و تجهیزات</t>
  </si>
  <si>
    <t>ساخت و راه اندازی</t>
  </si>
  <si>
    <t>هزینه های پیش از راه اندازی</t>
  </si>
  <si>
    <t>هزینه های پیش بینی نشده</t>
  </si>
  <si>
    <t>سرمایه در گردش</t>
  </si>
  <si>
    <t>جزئیات درآمدی</t>
  </si>
  <si>
    <t>نام محصول</t>
  </si>
  <si>
    <t>درآمد سالانه (میانگین 25 ساله)</t>
  </si>
  <si>
    <t>درصد درآمد ارزی</t>
  </si>
  <si>
    <t>بازار هدف</t>
  </si>
  <si>
    <t>جزئیات هزینه های عملیاتی</t>
  </si>
  <si>
    <t>خوراک</t>
  </si>
  <si>
    <t>پرسنلی</t>
  </si>
  <si>
    <t>بازاریابی، فروش و لجستیک</t>
  </si>
  <si>
    <t>تعمیر و نگهداری</t>
  </si>
  <si>
    <t>سایر هزینه ها</t>
  </si>
  <si>
    <t>هزینه های سالانه</t>
  </si>
  <si>
    <t>درصد هزینه های ارزی</t>
  </si>
  <si>
    <t>جریان نقدی پروژه</t>
  </si>
  <si>
    <t>عنوان</t>
  </si>
  <si>
    <t>مبلغ (میلیون یورو)</t>
  </si>
  <si>
    <t>نسبت از کل هزینه ها</t>
  </si>
  <si>
    <t>ظرفیت (واحد شمارش)</t>
  </si>
  <si>
    <t>هزینه های سرمایه گذاری</t>
  </si>
  <si>
    <t>نرخ بازده داخلی (IRR)</t>
  </si>
  <si>
    <t>دوره ساخت (سال)</t>
  </si>
  <si>
    <t>دوره بازگشت سرمایه (سال)</t>
  </si>
  <si>
    <t>درآمد عملیاتی سالانه (EBIT)</t>
  </si>
  <si>
    <t>درآمد خالص سالانه</t>
  </si>
  <si>
    <t>سال 1</t>
  </si>
  <si>
    <t>سال 2</t>
  </si>
  <si>
    <t>سال 3</t>
  </si>
  <si>
    <t>سال 4</t>
  </si>
  <si>
    <t>سال 5</t>
  </si>
  <si>
    <t>سال 6</t>
  </si>
  <si>
    <t>سال 7</t>
  </si>
  <si>
    <t>سال 8</t>
  </si>
  <si>
    <t>سال 9</t>
  </si>
  <si>
    <t>سال 10</t>
  </si>
  <si>
    <t>درصد پیشرفت پروژه</t>
  </si>
  <si>
    <t>شرح پروژه</t>
  </si>
  <si>
    <t>وضعیت اجرای پروژه</t>
  </si>
  <si>
    <t>تحلیل سرمایه گذاری</t>
  </si>
  <si>
    <t>یوتیلیتی (هزینه ایجاد تاسیسات زیرساختی پشتیبانی تولید)</t>
  </si>
  <si>
    <t>یوتیلیتی (هزینه مصرف تاسیسات زیرساختی پشتیبانی تولید)</t>
  </si>
  <si>
    <t>عنوان فرعی پروژه</t>
  </si>
  <si>
    <t>عنوان پروژه</t>
  </si>
  <si>
    <t>پروژه 400 هزارتنی کاتد مکران</t>
  </si>
  <si>
    <t>کارخانه ذوب و اسید فسفریک چابهار</t>
  </si>
  <si>
    <t>مس و فلزات غیر آهنی</t>
  </si>
  <si>
    <t>زنجیره پایین دست صنعت مس</t>
  </si>
  <si>
    <t>منطقه آزاد چابهار</t>
  </si>
  <si>
    <t>تعریف طرح با هدف نیل به تولید سالیانه 1,000,000 تن کاتد</t>
  </si>
  <si>
    <t>متوقف</t>
  </si>
  <si>
    <t>اقدامی انجام نشده است</t>
  </si>
  <si>
    <t>محدودیت تامین مالی و ماده اولیه</t>
  </si>
  <si>
    <t>کاتد مس</t>
  </si>
  <si>
    <t>اسید فسفریک</t>
  </si>
  <si>
    <t>لجن آندی</t>
  </si>
  <si>
    <t>اسید سولفوریک</t>
  </si>
  <si>
    <t>1,200 تن در سال</t>
  </si>
  <si>
    <t>1,720,000 تن در سال</t>
  </si>
  <si>
    <t>400,000 تن در سال</t>
  </si>
  <si>
    <t>صادرات</t>
  </si>
  <si>
    <t xml:space="preserve"> 5,150 میلیون یورو </t>
  </si>
  <si>
    <t>خالص ارزش فعلی پروژه با نرخ تنزیل 12% (NPV)</t>
  </si>
  <si>
    <t xml:space="preserve"> 2,067 میلیون یورو </t>
  </si>
  <si>
    <t xml:space="preserve">دوره </t>
  </si>
  <si>
    <t>تولید فسفریک</t>
  </si>
  <si>
    <t>(تن)</t>
  </si>
  <si>
    <t>هزینه عملیاتی</t>
  </si>
  <si>
    <t>(یورو)</t>
  </si>
  <si>
    <t>هزینه سرمایه گذاری</t>
  </si>
  <si>
    <t>درآمد عملیاتی</t>
  </si>
  <si>
    <t>جریان های نقدی بعد از مالیات (یورو)</t>
  </si>
  <si>
    <t>جریان نقدی خالص پس از کسر مالیات</t>
  </si>
  <si>
    <t>جریان نقد آزاد</t>
  </si>
  <si>
    <t>هزینه های عملیاتی</t>
  </si>
  <si>
    <t>درآمدهای عملیاتی</t>
  </si>
  <si>
    <t>هزینه های سرمایه‌گذاری</t>
  </si>
  <si>
    <r>
      <t>دوره</t>
    </r>
    <r>
      <rPr>
        <sz val="12"/>
        <color theme="1"/>
        <rFont val="Cambria"/>
        <family val="1"/>
      </rPr>
      <t xml:space="preserve"> </t>
    </r>
  </si>
  <si>
    <t>کل (یورو)</t>
  </si>
  <si>
    <t>هزینه ریالی (میلیون ریال)</t>
  </si>
  <si>
    <t>هزینه ارزی ( یورو)</t>
  </si>
  <si>
    <t>اقلام هزینه های عملیاتی</t>
  </si>
  <si>
    <t>مواد اولیه و مصرفی</t>
  </si>
  <si>
    <t>یوتیلیتی و تاسیسات مصرفی</t>
  </si>
  <si>
    <t>نیروی انسانی</t>
  </si>
  <si>
    <t>هزینه سربار</t>
  </si>
  <si>
    <t>هزینه بازاریابی و فروش</t>
  </si>
  <si>
    <t>قطعات یدکی</t>
  </si>
  <si>
    <t>کل</t>
  </si>
  <si>
    <t>ردیف</t>
  </si>
  <si>
    <t>شرح</t>
  </si>
  <si>
    <t>یورو در سال</t>
  </si>
  <si>
    <t>کنسانتره</t>
  </si>
  <si>
    <t>مواد مصرفی</t>
  </si>
  <si>
    <t>زغالسنگ</t>
  </si>
  <si>
    <t>گاز طبیعی</t>
  </si>
  <si>
    <t>برق</t>
  </si>
  <si>
    <t>آب</t>
  </si>
  <si>
    <t>نیروی کار مستقیم</t>
  </si>
  <si>
    <t>نگهداری (5 درصد)</t>
  </si>
  <si>
    <t>هزینه های پیشبینی نشده</t>
  </si>
  <si>
    <t>مجموع</t>
  </si>
  <si>
    <t>نگهداری</t>
  </si>
  <si>
    <t>پیشبینی نشده</t>
  </si>
  <si>
    <t>حمل و نقل</t>
  </si>
  <si>
    <t>Copper Cathode</t>
  </si>
  <si>
    <t>Sulphuric Acid</t>
  </si>
  <si>
    <t>Phosphoric Acid</t>
  </si>
  <si>
    <t>Anode Slime</t>
  </si>
  <si>
    <t>400,000 ton/year</t>
  </si>
  <si>
    <t>1,720,000 ton/year</t>
  </si>
  <si>
    <t>570,000 ton/year</t>
  </si>
  <si>
    <t>1,200 ton/year</t>
  </si>
  <si>
    <t>Export</t>
  </si>
  <si>
    <t>Makran 400,000 ton/year cathode project</t>
  </si>
  <si>
    <t>Chabahar Smelting and Phosphoric Acid Complex</t>
  </si>
  <si>
    <t>Copper and Non-Ferrous Metals</t>
  </si>
  <si>
    <t>Chabahar Free Zone</t>
  </si>
  <si>
    <t>No action has been taken</t>
  </si>
  <si>
    <t>Financial and feedstock supply limitations</t>
  </si>
  <si>
    <t>Downstream Copper Industry</t>
  </si>
  <si>
    <t>defined with the goal of achieving  annual production of 1,000,000 tons of copper cathode for NICICo</t>
  </si>
  <si>
    <t>Stopped</t>
  </si>
  <si>
    <t>2,067 million Euro</t>
  </si>
  <si>
    <t>5,150 million Euro</t>
  </si>
  <si>
    <t>570,000 تن در سال (P2O5 100%)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</si>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</sst>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Arial"/>
      <family val="2"/>
      <scheme val="minor"/>
    </font>
    <font>
      <sz val="9"/>
      <color rgb="FF404040"/>
      <name val="NimbusSanL-Regu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B Nazanin"/>
      <charset val="178"/>
    </font>
    <font>
      <sz val="14"/>
      <color rgb="FF404040"/>
      <name val="B Nazanin"/>
      <charset val="178"/>
    </font>
    <font>
      <b/>
      <sz val="14"/>
      <color theme="1"/>
      <name val="B Nazanin"/>
      <charset val="178"/>
    </font>
    <font>
      <b/>
      <sz val="11"/>
      <color theme="1"/>
      <name val="Arial"/>
      <family val="2"/>
      <scheme val="minor"/>
    </font>
    <font>
      <sz val="12"/>
      <color theme="1"/>
      <name val="Cambria"/>
      <family val="1"/>
    </font>
    <font>
      <sz val="16"/>
      <color theme="1"/>
      <name val="B Nazanin"/>
      <charset val="178"/>
    </font>
    <font>
      <sz val="16"/>
      <color theme="1"/>
      <name val="Cambria"/>
      <family val="1"/>
    </font>
    <font>
      <sz val="16"/>
      <color theme="1"/>
      <name val="Calibri"/>
      <family val="2"/>
    </font>
    <font>
      <b/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Protection="1"/>
    <xf numFmtId="0" fontId="0" fillId="2" borderId="1" xfId="0" applyFill="1" applyBorder="1" applyProtection="1"/>
    <xf numFmtId="0" fontId="0" fillId="0" borderId="0" xfId="0" applyAlignment="1" applyProtection="1">
      <alignment readingOrder="1"/>
    </xf>
    <xf numFmtId="49" fontId="0" fillId="2" borderId="2" xfId="0" applyNumberFormat="1" applyFill="1" applyBorder="1" applyAlignment="1" applyProtection="1">
      <alignment readingOrder="1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 readingOrder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49" fontId="4" fillId="2" borderId="2" xfId="0" applyNumberFormat="1" applyFont="1" applyFill="1" applyBorder="1" applyAlignment="1" applyProtection="1">
      <alignment horizontal="center" vertical="center" readingOrder="1"/>
    </xf>
    <xf numFmtId="0" fontId="4" fillId="2" borderId="5" xfId="0" applyFont="1" applyFill="1" applyBorder="1" applyAlignment="1" applyProtection="1">
      <alignment horizontal="center" vertical="center"/>
    </xf>
    <xf numFmtId="165" fontId="4" fillId="0" borderId="6" xfId="1" applyNumberFormat="1" applyFont="1" applyBorder="1" applyAlignment="1" applyProtection="1">
      <alignment horizontal="center" vertical="center" readingOrder="1"/>
      <protection locked="0"/>
    </xf>
    <xf numFmtId="0" fontId="4" fillId="2" borderId="7" xfId="0" applyFont="1" applyFill="1" applyBorder="1" applyAlignment="1" applyProtection="1">
      <alignment horizontal="center" vertical="center"/>
    </xf>
    <xf numFmtId="165" fontId="4" fillId="0" borderId="8" xfId="1" applyNumberFormat="1" applyFont="1" applyBorder="1" applyAlignment="1" applyProtection="1">
      <alignment horizontal="center" vertical="center" readingOrder="1"/>
      <protection locked="0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readingOrder="1"/>
      <protection locked="0"/>
    </xf>
    <xf numFmtId="9" fontId="4" fillId="0" borderId="6" xfId="0" applyNumberFormat="1" applyFont="1" applyBorder="1" applyAlignment="1" applyProtection="1">
      <alignment horizontal="center" vertical="center" readingOrder="1"/>
      <protection locked="0"/>
    </xf>
    <xf numFmtId="0" fontId="4" fillId="0" borderId="8" xfId="0" applyFont="1" applyBorder="1" applyAlignment="1" applyProtection="1">
      <alignment horizontal="center" vertical="center" readingOrder="1"/>
      <protection locked="0"/>
    </xf>
    <xf numFmtId="0" fontId="4" fillId="2" borderId="7" xfId="0" applyFont="1" applyFill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 readingOrder="1"/>
      <protection locked="0"/>
    </xf>
    <xf numFmtId="9" fontId="5" fillId="0" borderId="6" xfId="2" applyFont="1" applyBorder="1" applyAlignment="1" applyProtection="1">
      <alignment horizontal="center" vertical="center" readingOrder="1"/>
      <protection locked="0"/>
    </xf>
    <xf numFmtId="0" fontId="5" fillId="0" borderId="6" xfId="0" applyFont="1" applyBorder="1" applyAlignment="1" applyProtection="1">
      <alignment horizontal="center" vertical="center" wrapText="1" readingOrder="1"/>
      <protection locked="0"/>
    </xf>
    <xf numFmtId="0" fontId="4" fillId="0" borderId="6" xfId="0" applyFont="1" applyBorder="1" applyAlignment="1" applyProtection="1">
      <alignment horizontal="center" vertical="center" wrapText="1" readingOrder="1"/>
      <protection locked="0"/>
    </xf>
    <xf numFmtId="0" fontId="4" fillId="0" borderId="8" xfId="0" applyFont="1" applyBorder="1" applyAlignment="1" applyProtection="1">
      <alignment horizontal="center" vertical="center" wrapText="1" readingOrder="1"/>
      <protection locked="0"/>
    </xf>
    <xf numFmtId="0" fontId="4" fillId="2" borderId="3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 applyProtection="1">
      <alignment horizontal="center" vertical="center" readingOrder="1"/>
      <protection locked="0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 readingOrder="1"/>
    </xf>
    <xf numFmtId="0" fontId="0" fillId="2" borderId="3" xfId="0" applyFill="1" applyBorder="1" applyProtection="1"/>
    <xf numFmtId="0" fontId="0" fillId="2" borderId="7" xfId="0" applyFill="1" applyBorder="1" applyProtection="1"/>
    <xf numFmtId="0" fontId="0" fillId="2" borderId="5" xfId="0" applyFill="1" applyBorder="1" applyProtection="1"/>
    <xf numFmtId="0" fontId="0" fillId="0" borderId="5" xfId="0" applyBorder="1" applyProtection="1">
      <protection locked="0"/>
    </xf>
    <xf numFmtId="165" fontId="0" fillId="2" borderId="5" xfId="1" applyNumberFormat="1" applyFont="1" applyFill="1" applyBorder="1" applyAlignment="1" applyProtection="1">
      <alignment readingOrder="1"/>
    </xf>
    <xf numFmtId="0" fontId="7" fillId="2" borderId="5" xfId="0" applyFont="1" applyFill="1" applyBorder="1" applyProtection="1"/>
    <xf numFmtId="0" fontId="7" fillId="2" borderId="6" xfId="0" applyFont="1" applyFill="1" applyBorder="1" applyAlignment="1" applyProtection="1">
      <alignment readingOrder="1"/>
    </xf>
    <xf numFmtId="0" fontId="4" fillId="0" borderId="6" xfId="0" applyFont="1" applyBorder="1" applyAlignment="1" applyProtection="1">
      <alignment horizontal="center" vertical="center" readingOrder="2"/>
      <protection locked="0"/>
    </xf>
    <xf numFmtId="0" fontId="8" fillId="0" borderId="13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3" fontId="10" fillId="0" borderId="15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3" fontId="8" fillId="0" borderId="13" xfId="0" applyNumberFormat="1" applyFont="1" applyBorder="1" applyAlignment="1">
      <alignment horizontal="right" vertical="center"/>
    </xf>
    <xf numFmtId="3" fontId="8" fillId="0" borderId="16" xfId="0" applyNumberFormat="1" applyFont="1" applyBorder="1" applyAlignment="1">
      <alignment horizontal="right" vertical="center"/>
    </xf>
    <xf numFmtId="0" fontId="8" fillId="0" borderId="16" xfId="0" applyFont="1" applyBorder="1" applyAlignment="1">
      <alignment horizontal="right" vertical="center"/>
    </xf>
    <xf numFmtId="0" fontId="4" fillId="0" borderId="17" xfId="0" applyFont="1" applyBorder="1" applyAlignment="1" applyProtection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 readingOrder="2"/>
    </xf>
    <xf numFmtId="0" fontId="4" fillId="0" borderId="1" xfId="0" applyFont="1" applyBorder="1" applyAlignment="1">
      <alignment horizontal="right" vertical="center" readingOrder="2"/>
    </xf>
    <xf numFmtId="0" fontId="8" fillId="0" borderId="13" xfId="0" applyFont="1" applyBorder="1" applyAlignment="1">
      <alignment horizontal="right" vertical="center" readingOrder="2"/>
    </xf>
    <xf numFmtId="0" fontId="4" fillId="0" borderId="16" xfId="0" applyFont="1" applyBorder="1" applyAlignment="1">
      <alignment horizontal="right" vertical="center" readingOrder="2"/>
    </xf>
    <xf numFmtId="3" fontId="4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readingOrder="2"/>
    </xf>
    <xf numFmtId="0" fontId="6" fillId="0" borderId="2" xfId="0" applyFont="1" applyBorder="1" applyAlignment="1">
      <alignment horizontal="right" vertical="center" readingOrder="2"/>
    </xf>
    <xf numFmtId="0" fontId="9" fillId="0" borderId="12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/>
    </xf>
    <xf numFmtId="0" fontId="7" fillId="2" borderId="10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 vertical="center" readingOrder="1"/>
    </xf>
    <xf numFmtId="165" fontId="0" fillId="0" borderId="6" xfId="1" applyNumberFormat="1" applyFont="1" applyBorder="1" applyAlignment="1" applyProtection="1">
      <alignment horizontal="center" vertical="center" readingOrder="1"/>
      <protection locked="0"/>
    </xf>
    <xf numFmtId="1" fontId="4" fillId="0" borderId="0" xfId="0" applyNumberFormat="1" applyFont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 readingOrder="1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 readingOrder="1"/>
      <protection locked="0"/>
    </xf>
    <xf numFmtId="0" fontId="1" fillId="0" borderId="6" xfId="0" applyFont="1" applyBorder="1" applyAlignment="1" applyProtection="1">
      <alignment horizontal="center" vertical="center" readingOrder="1"/>
      <protection locked="0"/>
    </xf>
    <xf numFmtId="9" fontId="1" fillId="0" borderId="6" xfId="2" applyFont="1" applyBorder="1" applyAlignment="1" applyProtection="1">
      <alignment horizontal="center" vertical="center" readingOrder="1"/>
      <protection locked="0"/>
    </xf>
    <xf numFmtId="0" fontId="1" fillId="0" borderId="6" xfId="0" applyFont="1" applyBorder="1" applyAlignment="1" applyProtection="1">
      <alignment horizontal="center" vertical="center" wrapText="1" readingOrder="1"/>
      <protection locked="0"/>
    </xf>
    <xf numFmtId="0" fontId="0" fillId="0" borderId="6" xfId="0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horizontal="center" vertical="center" wrapText="1" readingOrder="1"/>
      <protection locked="0"/>
    </xf>
    <xf numFmtId="9" fontId="0" fillId="0" borderId="6" xfId="0" applyNumberFormat="1" applyBorder="1" applyAlignment="1" applyProtection="1">
      <alignment horizontal="center" vertical="center" readingOrder="1"/>
      <protection locked="0"/>
    </xf>
    <xf numFmtId="0" fontId="0" fillId="0" borderId="8" xfId="0" applyBorder="1" applyAlignment="1" applyProtection="1">
      <alignment horizontal="center" vertical="center" readingOrder="1"/>
      <protection locked="0"/>
    </xf>
    <xf numFmtId="3" fontId="6" fillId="0" borderId="13" xfId="0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3" fontId="12" fillId="0" borderId="13" xfId="0" applyNumberFormat="1" applyFont="1" applyBorder="1" applyAlignment="1">
      <alignment horizontal="right" vertical="center"/>
    </xf>
    <xf numFmtId="3" fontId="8" fillId="0" borderId="13" xfId="0" applyNumberFormat="1" applyFont="1" applyBorder="1" applyAlignment="1">
      <alignment horizontal="right" vertical="center" readingOrder="2"/>
    </xf>
    <xf numFmtId="3" fontId="12" fillId="0" borderId="13" xfId="0" applyNumberFormat="1" applyFont="1" applyBorder="1" applyAlignment="1">
      <alignment horizontal="right" vertical="center" readingOrder="2"/>
    </xf>
    <xf numFmtId="3" fontId="0" fillId="0" borderId="18" xfId="0" applyNumberFormat="1" applyBorder="1" applyAlignment="1" applyProtection="1">
      <alignment horizontal="center" vertical="center"/>
    </xf>
    <xf numFmtId="3" fontId="0" fillId="0" borderId="15" xfId="0" applyNumberFormat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6796-8862-4E25-962D-60E31E7659C8}">
  <sheetPr>
    <pageSetUpPr fitToPage="1"/>
  </sheetPr>
  <dimension ref="C1:AG96"/>
  <sheetViews>
    <sheetView rightToLeft="1" tabSelected="1" zoomScale="55" zoomScaleNormal="55" workbookViewId="0">
      <selection activeCell="K31" sqref="K31"/>
    </sheetView>
  </sheetViews>
  <sheetFormatPr defaultColWidth="9.125" defaultRowHeight="22.5"/>
  <cols>
    <col min="1" max="2" width="5.125" style="5" customWidth="1"/>
    <col min="3" max="3" width="45.875" style="5" bestFit="1" customWidth="1"/>
    <col min="4" max="4" width="52.625" style="6" customWidth="1"/>
    <col min="5" max="5" width="7.375" style="5" customWidth="1"/>
    <col min="6" max="20" width="9.125" style="5"/>
    <col min="21" max="21" width="7.125" style="5" customWidth="1"/>
    <col min="22" max="22" width="17.625" style="5" customWidth="1"/>
    <col min="23" max="23" width="25.5" style="5" bestFit="1" customWidth="1"/>
    <col min="24" max="24" width="19.5" style="5" bestFit="1" customWidth="1"/>
    <col min="25" max="25" width="26.75" style="5" bestFit="1" customWidth="1"/>
    <col min="26" max="26" width="19.5" style="5" customWidth="1"/>
    <col min="27" max="27" width="9.125" style="5"/>
    <col min="28" max="28" width="20.125" style="5" customWidth="1"/>
    <col min="29" max="29" width="24.125" style="5" customWidth="1"/>
    <col min="30" max="30" width="19.75" style="5" customWidth="1"/>
    <col min="31" max="31" width="26.75" style="5" bestFit="1" customWidth="1"/>
    <col min="32" max="32" width="18.625" style="5" customWidth="1"/>
    <col min="33" max="33" width="19.75" style="5" customWidth="1"/>
    <col min="34" max="16384" width="9.125" style="5"/>
  </cols>
  <sheetData>
    <row r="1" spans="3:33" ht="23.25" thickBot="1"/>
    <row r="2" spans="3:33">
      <c r="C2" s="27" t="s">
        <v>114</v>
      </c>
      <c r="D2" s="28" t="s">
        <v>115</v>
      </c>
    </row>
    <row r="3" spans="3:33" ht="23.25" thickBot="1">
      <c r="C3" s="12" t="s">
        <v>113</v>
      </c>
      <c r="D3" s="29" t="s">
        <v>116</v>
      </c>
    </row>
    <row r="4" spans="3:33" ht="25.5" thickBot="1">
      <c r="U4" s="70" t="s">
        <v>135</v>
      </c>
      <c r="V4" s="42" t="s">
        <v>136</v>
      </c>
      <c r="W4" s="42" t="s">
        <v>138</v>
      </c>
      <c r="X4" s="42" t="s">
        <v>140</v>
      </c>
      <c r="Y4" s="42" t="s">
        <v>141</v>
      </c>
      <c r="Z4" s="70" t="s">
        <v>142</v>
      </c>
      <c r="AB4" s="49" t="s">
        <v>143</v>
      </c>
      <c r="AC4" s="60" t="s">
        <v>144</v>
      </c>
      <c r="AD4" s="60" t="s">
        <v>145</v>
      </c>
      <c r="AE4" s="60" t="s">
        <v>146</v>
      </c>
      <c r="AF4" s="60" t="s">
        <v>147</v>
      </c>
      <c r="AG4" s="49" t="s">
        <v>148</v>
      </c>
    </row>
    <row r="5" spans="3:33" ht="25.5" thickBot="1">
      <c r="C5" s="74" t="s">
        <v>59</v>
      </c>
      <c r="D5" s="75"/>
      <c r="U5" s="71"/>
      <c r="V5" s="43" t="s">
        <v>137</v>
      </c>
      <c r="W5" s="44" t="s">
        <v>139</v>
      </c>
      <c r="X5" s="44" t="s">
        <v>139</v>
      </c>
      <c r="Y5" s="44" t="s">
        <v>139</v>
      </c>
      <c r="Z5" s="71"/>
      <c r="AB5" s="50">
        <v>-746033277</v>
      </c>
      <c r="AC5" s="51">
        <v>-746033277</v>
      </c>
      <c r="AD5" s="52">
        <v>0</v>
      </c>
      <c r="AE5" s="52">
        <v>0</v>
      </c>
      <c r="AF5" s="51">
        <v>746033277</v>
      </c>
      <c r="AG5" s="41">
        <v>0</v>
      </c>
    </row>
    <row r="6" spans="3:33" ht="23.25" thickBot="1">
      <c r="C6" s="14" t="s">
        <v>60</v>
      </c>
      <c r="D6" s="22" t="s">
        <v>117</v>
      </c>
      <c r="U6" s="45">
        <v>0</v>
      </c>
      <c r="V6" s="46">
        <v>0</v>
      </c>
      <c r="W6" s="46">
        <v>0</v>
      </c>
      <c r="X6" s="47">
        <v>610250945</v>
      </c>
      <c r="Y6" s="46">
        <v>0</v>
      </c>
      <c r="Z6" s="47">
        <v>-610167520</v>
      </c>
      <c r="AB6" s="50">
        <v>-447619966</v>
      </c>
      <c r="AC6" s="51">
        <v>-447619966</v>
      </c>
      <c r="AD6" s="52">
        <v>0</v>
      </c>
      <c r="AE6" s="52">
        <v>0</v>
      </c>
      <c r="AF6" s="51">
        <v>447619966</v>
      </c>
      <c r="AG6" s="41">
        <v>1</v>
      </c>
    </row>
    <row r="7" spans="3:33" ht="23.25" thickBot="1">
      <c r="C7" s="14" t="s">
        <v>61</v>
      </c>
      <c r="D7" s="22" t="s">
        <v>118</v>
      </c>
      <c r="U7" s="45">
        <v>1</v>
      </c>
      <c r="V7" s="47">
        <v>726700</v>
      </c>
      <c r="W7" s="47">
        <v>566826000</v>
      </c>
      <c r="X7" s="48"/>
      <c r="Y7" s="47">
        <v>799370000</v>
      </c>
      <c r="Z7" s="47">
        <v>232544000</v>
      </c>
      <c r="AB7" s="50">
        <v>-298413311</v>
      </c>
      <c r="AC7" s="51">
        <v>-298413311</v>
      </c>
      <c r="AD7" s="52">
        <v>0</v>
      </c>
      <c r="AE7" s="52">
        <v>0</v>
      </c>
      <c r="AF7" s="51">
        <v>298413311</v>
      </c>
      <c r="AG7" s="41">
        <v>2</v>
      </c>
    </row>
    <row r="8" spans="3:33" ht="23.25" thickBot="1">
      <c r="C8" s="14" t="s">
        <v>62</v>
      </c>
      <c r="D8" s="22" t="s">
        <v>119</v>
      </c>
      <c r="U8" s="45">
        <v>2</v>
      </c>
      <c r="V8" s="47">
        <v>894400</v>
      </c>
      <c r="W8" s="47">
        <v>697632000</v>
      </c>
      <c r="X8" s="48"/>
      <c r="Y8" s="47">
        <v>983840000</v>
      </c>
      <c r="Z8" s="47">
        <v>286208000</v>
      </c>
      <c r="AB8" s="50">
        <v>139072884</v>
      </c>
      <c r="AC8" s="51">
        <v>139072884</v>
      </c>
      <c r="AD8" s="51">
        <v>2410227116</v>
      </c>
      <c r="AE8" s="51">
        <v>2549300000</v>
      </c>
      <c r="AF8" s="52">
        <v>0</v>
      </c>
      <c r="AG8" s="41">
        <v>3</v>
      </c>
    </row>
    <row r="9" spans="3:33" ht="23.25" thickBot="1">
      <c r="C9" s="14" t="s">
        <v>107</v>
      </c>
      <c r="D9" s="23">
        <v>0</v>
      </c>
      <c r="U9" s="45">
        <v>3</v>
      </c>
      <c r="V9" s="47">
        <v>1118000</v>
      </c>
      <c r="W9" s="47">
        <v>872040000</v>
      </c>
      <c r="X9" s="48"/>
      <c r="Y9" s="47">
        <v>1229800000</v>
      </c>
      <c r="Z9" s="47">
        <v>357760000</v>
      </c>
      <c r="AB9" s="50">
        <v>171166626</v>
      </c>
      <c r="AC9" s="51">
        <v>171166626</v>
      </c>
      <c r="AD9" s="51">
        <v>2966433374</v>
      </c>
      <c r="AE9" s="51">
        <v>3137600000</v>
      </c>
      <c r="AF9" s="52">
        <v>0</v>
      </c>
      <c r="AG9" s="41">
        <v>4</v>
      </c>
    </row>
    <row r="10" spans="3:33" ht="23.25" thickBot="1">
      <c r="C10" s="14" t="s">
        <v>108</v>
      </c>
      <c r="D10" s="24" t="s">
        <v>120</v>
      </c>
      <c r="U10" s="45">
        <v>4</v>
      </c>
      <c r="V10" s="47">
        <v>1118000</v>
      </c>
      <c r="W10" s="47">
        <v>872040000</v>
      </c>
      <c r="X10" s="48"/>
      <c r="Y10" s="47">
        <v>1229800000</v>
      </c>
      <c r="Z10" s="47">
        <v>357760000</v>
      </c>
      <c r="AB10" s="50">
        <v>192562455</v>
      </c>
      <c r="AC10" s="51">
        <v>192562455</v>
      </c>
      <c r="AD10" s="51">
        <v>3337237545</v>
      </c>
      <c r="AE10" s="51">
        <v>3529800000</v>
      </c>
      <c r="AF10" s="52">
        <v>0</v>
      </c>
      <c r="AG10" s="41">
        <v>5</v>
      </c>
    </row>
    <row r="11" spans="3:33" ht="23.25" thickBot="1">
      <c r="C11" s="14" t="s">
        <v>109</v>
      </c>
      <c r="D11" s="25" t="s">
        <v>121</v>
      </c>
      <c r="U11" s="45">
        <v>5</v>
      </c>
      <c r="V11" s="47">
        <v>1118000</v>
      </c>
      <c r="W11" s="47">
        <v>872040000</v>
      </c>
      <c r="X11" s="48"/>
      <c r="Y11" s="47">
        <v>1229800000</v>
      </c>
      <c r="Z11" s="47">
        <v>357760000</v>
      </c>
      <c r="AB11" s="50">
        <v>213958283</v>
      </c>
      <c r="AC11" s="51">
        <v>213958283</v>
      </c>
      <c r="AD11" s="51">
        <v>3708041717</v>
      </c>
      <c r="AE11" s="51">
        <v>3922000000</v>
      </c>
      <c r="AF11" s="52">
        <v>0</v>
      </c>
      <c r="AG11" s="41">
        <v>6</v>
      </c>
    </row>
    <row r="12" spans="3:33" ht="23.25" thickBot="1">
      <c r="C12" s="14" t="s">
        <v>63</v>
      </c>
      <c r="D12" s="25" t="s">
        <v>122</v>
      </c>
      <c r="U12" s="45">
        <v>6</v>
      </c>
      <c r="V12" s="47">
        <v>1118000</v>
      </c>
      <c r="W12" s="47">
        <v>872040000</v>
      </c>
      <c r="X12" s="48"/>
      <c r="Y12" s="47">
        <v>1229800000</v>
      </c>
      <c r="Z12" s="47">
        <v>357760000</v>
      </c>
      <c r="AB12" s="50">
        <v>213958283</v>
      </c>
      <c r="AC12" s="51">
        <v>213958283</v>
      </c>
      <c r="AD12" s="51">
        <v>3708041717</v>
      </c>
      <c r="AE12" s="51">
        <v>3922000000</v>
      </c>
      <c r="AF12" s="52">
        <v>0</v>
      </c>
      <c r="AG12" s="41">
        <v>7</v>
      </c>
    </row>
    <row r="13" spans="3:33" ht="23.25" thickBot="1">
      <c r="C13" s="21" t="s">
        <v>64</v>
      </c>
      <c r="D13" s="26" t="s">
        <v>123</v>
      </c>
      <c r="U13" s="45">
        <v>7</v>
      </c>
      <c r="V13" s="47">
        <v>1118000</v>
      </c>
      <c r="W13" s="47">
        <v>872040000</v>
      </c>
      <c r="X13" s="48"/>
      <c r="Y13" s="47">
        <v>1229800000</v>
      </c>
      <c r="Z13" s="47">
        <v>357760000</v>
      </c>
      <c r="AB13" s="50">
        <v>213958283</v>
      </c>
      <c r="AC13" s="51">
        <v>213958283</v>
      </c>
      <c r="AD13" s="51">
        <v>3708041717</v>
      </c>
      <c r="AE13" s="51">
        <v>3922000000</v>
      </c>
      <c r="AF13" s="52">
        <v>0</v>
      </c>
      <c r="AG13" s="41">
        <v>8</v>
      </c>
    </row>
    <row r="14" spans="3:33" ht="23.25" thickBot="1">
      <c r="U14" s="45">
        <v>8</v>
      </c>
      <c r="V14" s="47">
        <v>1118000</v>
      </c>
      <c r="W14" s="47">
        <v>872040000</v>
      </c>
      <c r="X14" s="48"/>
      <c r="Y14" s="47">
        <v>1229800000</v>
      </c>
      <c r="Z14" s="47">
        <v>357760000</v>
      </c>
      <c r="AB14" s="50">
        <v>213958283</v>
      </c>
      <c r="AC14" s="51">
        <v>213958283</v>
      </c>
      <c r="AD14" s="51">
        <v>3708041717</v>
      </c>
      <c r="AE14" s="51">
        <v>3922000000</v>
      </c>
      <c r="AF14" s="52">
        <v>0</v>
      </c>
      <c r="AG14" s="41">
        <v>9</v>
      </c>
    </row>
    <row r="15" spans="3:33" ht="24.75" thickBot="1">
      <c r="C15" s="76" t="s">
        <v>91</v>
      </c>
      <c r="D15" s="77"/>
      <c r="U15" s="45">
        <v>9</v>
      </c>
      <c r="V15" s="47">
        <v>1118000</v>
      </c>
      <c r="W15" s="47">
        <v>872040000</v>
      </c>
      <c r="X15" s="48"/>
      <c r="Y15" s="47">
        <v>1229800000</v>
      </c>
      <c r="Z15" s="47">
        <v>357760000</v>
      </c>
      <c r="AB15" s="50">
        <v>213958283</v>
      </c>
      <c r="AC15" s="51">
        <v>213958283</v>
      </c>
      <c r="AD15" s="51">
        <v>3708041717</v>
      </c>
      <c r="AE15" s="51">
        <v>3922000000</v>
      </c>
      <c r="AF15" s="52">
        <v>0</v>
      </c>
      <c r="AG15" s="41">
        <v>10</v>
      </c>
    </row>
    <row r="16" spans="3:33" ht="24.75" thickBot="1">
      <c r="C16" s="30" t="s">
        <v>87</v>
      </c>
      <c r="D16" s="31" t="s">
        <v>88</v>
      </c>
      <c r="U16" s="45">
        <v>10</v>
      </c>
      <c r="V16" s="47">
        <v>1118000</v>
      </c>
      <c r="W16" s="47">
        <v>872040000</v>
      </c>
      <c r="X16" s="48"/>
      <c r="Y16" s="47">
        <v>1229800000</v>
      </c>
      <c r="Z16" s="47">
        <v>357760000</v>
      </c>
      <c r="AB16" s="50">
        <v>213958283</v>
      </c>
      <c r="AC16" s="51">
        <v>213958283</v>
      </c>
      <c r="AD16" s="51">
        <v>3708041717</v>
      </c>
      <c r="AE16" s="51">
        <v>3922000000</v>
      </c>
      <c r="AF16" s="52">
        <v>0</v>
      </c>
      <c r="AG16" s="41">
        <v>11</v>
      </c>
    </row>
    <row r="17" spans="3:33" ht="23.25" thickBot="1">
      <c r="C17" s="14" t="s">
        <v>65</v>
      </c>
      <c r="D17" s="11">
        <v>2050</v>
      </c>
      <c r="U17" s="45">
        <v>11</v>
      </c>
      <c r="V17" s="47">
        <v>1118000</v>
      </c>
      <c r="W17" s="47">
        <v>872040000</v>
      </c>
      <c r="X17" s="48"/>
      <c r="Y17" s="47">
        <v>1229800000</v>
      </c>
      <c r="Z17" s="47">
        <v>357760000</v>
      </c>
      <c r="AB17" s="50">
        <v>213958283</v>
      </c>
      <c r="AC17" s="51">
        <v>213958283</v>
      </c>
      <c r="AD17" s="51">
        <v>3708041717</v>
      </c>
      <c r="AE17" s="51">
        <v>3922000000</v>
      </c>
      <c r="AF17" s="52">
        <v>0</v>
      </c>
      <c r="AG17" s="41">
        <v>12</v>
      </c>
    </row>
    <row r="18" spans="3:33" ht="23.25" thickBot="1">
      <c r="C18" s="14" t="s">
        <v>67</v>
      </c>
      <c r="D18" s="11"/>
      <c r="U18" s="45">
        <v>12</v>
      </c>
      <c r="V18" s="47">
        <v>1118000</v>
      </c>
      <c r="W18" s="47">
        <v>872040000</v>
      </c>
      <c r="X18" s="48"/>
      <c r="Y18" s="47">
        <v>1229800000</v>
      </c>
      <c r="Z18" s="47">
        <v>357760000</v>
      </c>
      <c r="AB18" s="50">
        <v>213958283</v>
      </c>
      <c r="AC18" s="51">
        <v>213958283</v>
      </c>
      <c r="AD18" s="51">
        <v>3708041717</v>
      </c>
      <c r="AE18" s="51">
        <v>3922000000</v>
      </c>
      <c r="AF18" s="52">
        <v>0</v>
      </c>
      <c r="AG18" s="41">
        <v>13</v>
      </c>
    </row>
    <row r="19" spans="3:33" ht="23.25" thickBot="1">
      <c r="C19" s="14" t="s">
        <v>68</v>
      </c>
      <c r="D19" s="11"/>
      <c r="U19" s="45">
        <v>13</v>
      </c>
      <c r="V19" s="47">
        <v>1118000</v>
      </c>
      <c r="W19" s="47">
        <v>872040000</v>
      </c>
      <c r="X19" s="48"/>
      <c r="Y19" s="47">
        <v>1229800000</v>
      </c>
      <c r="Z19" s="47">
        <v>357760000</v>
      </c>
      <c r="AB19" s="50">
        <v>213958283</v>
      </c>
      <c r="AC19" s="51">
        <v>213958283</v>
      </c>
      <c r="AD19" s="51">
        <v>3708041717</v>
      </c>
      <c r="AE19" s="51">
        <v>3922000000</v>
      </c>
      <c r="AF19" s="52">
        <v>0</v>
      </c>
      <c r="AG19" s="41">
        <v>14</v>
      </c>
    </row>
    <row r="20" spans="3:33" ht="23.25" thickBot="1">
      <c r="C20" s="14" t="s">
        <v>69</v>
      </c>
      <c r="D20" s="11"/>
      <c r="U20" s="45">
        <v>14</v>
      </c>
      <c r="V20" s="47">
        <v>1118000</v>
      </c>
      <c r="W20" s="47">
        <v>872040000</v>
      </c>
      <c r="X20" s="48"/>
      <c r="Y20" s="47">
        <v>1229800000</v>
      </c>
      <c r="Z20" s="47">
        <v>357760000</v>
      </c>
      <c r="AB20" s="50">
        <v>213958283</v>
      </c>
      <c r="AC20" s="51">
        <v>213958283</v>
      </c>
      <c r="AD20" s="51">
        <v>3708041717</v>
      </c>
      <c r="AE20" s="51">
        <v>3922000000</v>
      </c>
      <c r="AF20" s="52">
        <v>0</v>
      </c>
      <c r="AG20" s="41">
        <v>15</v>
      </c>
    </row>
    <row r="21" spans="3:33" ht="23.25" thickBot="1">
      <c r="C21" s="14" t="s">
        <v>111</v>
      </c>
      <c r="D21" s="11">
        <v>155</v>
      </c>
      <c r="U21" s="45">
        <v>15</v>
      </c>
      <c r="V21" s="47">
        <v>1118000</v>
      </c>
      <c r="W21" s="47">
        <v>872040000</v>
      </c>
      <c r="X21" s="48"/>
      <c r="Y21" s="47">
        <v>1229800000</v>
      </c>
      <c r="Z21" s="47">
        <v>357760000</v>
      </c>
      <c r="AB21" s="50">
        <v>213958283</v>
      </c>
      <c r="AC21" s="51">
        <v>213958283</v>
      </c>
      <c r="AD21" s="51">
        <v>3708041717</v>
      </c>
      <c r="AE21" s="51">
        <v>3922000000</v>
      </c>
      <c r="AF21" s="52">
        <v>0</v>
      </c>
      <c r="AG21" s="41">
        <v>16</v>
      </c>
    </row>
    <row r="22" spans="3:33" ht="23.25" thickBot="1">
      <c r="C22" s="14" t="s">
        <v>70</v>
      </c>
      <c r="D22" s="11">
        <v>100</v>
      </c>
      <c r="U22" s="45">
        <v>16</v>
      </c>
      <c r="V22" s="47">
        <v>1118000</v>
      </c>
      <c r="W22" s="47">
        <v>872040000</v>
      </c>
      <c r="X22" s="48"/>
      <c r="Y22" s="47">
        <v>1229800000</v>
      </c>
      <c r="Z22" s="47">
        <v>357760000</v>
      </c>
      <c r="AB22" s="50">
        <v>213958283</v>
      </c>
      <c r="AC22" s="51">
        <v>213958283</v>
      </c>
      <c r="AD22" s="51">
        <v>3708041717</v>
      </c>
      <c r="AE22" s="51">
        <v>3922000000</v>
      </c>
      <c r="AF22" s="52">
        <v>0</v>
      </c>
      <c r="AG22" s="41">
        <v>17</v>
      </c>
    </row>
    <row r="23" spans="3:33" ht="23.25" thickBot="1">
      <c r="C23" s="14" t="s">
        <v>71</v>
      </c>
      <c r="D23" s="11">
        <v>105</v>
      </c>
      <c r="U23" s="45">
        <v>17</v>
      </c>
      <c r="V23" s="47">
        <v>1118000</v>
      </c>
      <c r="W23" s="47">
        <v>872040000</v>
      </c>
      <c r="X23" s="48"/>
      <c r="Y23" s="47">
        <v>1229800000</v>
      </c>
      <c r="Z23" s="47">
        <v>357760000</v>
      </c>
      <c r="AB23" s="50">
        <v>213958283</v>
      </c>
      <c r="AC23" s="51">
        <v>213958283</v>
      </c>
      <c r="AD23" s="51">
        <v>3708041717</v>
      </c>
      <c r="AE23" s="51">
        <v>3922000000</v>
      </c>
      <c r="AF23" s="52">
        <v>0</v>
      </c>
      <c r="AG23" s="41">
        <v>18</v>
      </c>
    </row>
    <row r="24" spans="3:33" ht="23.25" thickBot="1">
      <c r="C24" s="21" t="s">
        <v>72</v>
      </c>
      <c r="D24" s="13">
        <v>49</v>
      </c>
      <c r="U24" s="45">
        <v>18</v>
      </c>
      <c r="V24" s="47">
        <v>1118000</v>
      </c>
      <c r="W24" s="47">
        <v>872040000</v>
      </c>
      <c r="X24" s="48"/>
      <c r="Y24" s="47">
        <v>1229800000</v>
      </c>
      <c r="Z24" s="47">
        <v>357760000</v>
      </c>
      <c r="AB24" s="50">
        <v>213958283</v>
      </c>
      <c r="AC24" s="51">
        <v>213958283</v>
      </c>
      <c r="AD24" s="51">
        <v>3708041717</v>
      </c>
      <c r="AE24" s="51">
        <v>3922000000</v>
      </c>
      <c r="AF24" s="52">
        <v>0</v>
      </c>
      <c r="AG24" s="41">
        <v>19</v>
      </c>
    </row>
    <row r="25" spans="3:33" ht="23.25" thickBot="1">
      <c r="U25" s="45">
        <v>19</v>
      </c>
      <c r="V25" s="47">
        <v>1118000</v>
      </c>
      <c r="W25" s="47">
        <v>872040000</v>
      </c>
      <c r="X25" s="48"/>
      <c r="Y25" s="47">
        <v>1229800000</v>
      </c>
      <c r="Z25" s="47">
        <v>357760000</v>
      </c>
      <c r="AB25" s="50">
        <v>213958283</v>
      </c>
      <c r="AC25" s="51">
        <v>213958283</v>
      </c>
      <c r="AD25" s="51">
        <v>3708041717</v>
      </c>
      <c r="AE25" s="51">
        <v>3922000000</v>
      </c>
      <c r="AF25" s="52">
        <v>0</v>
      </c>
      <c r="AG25" s="41">
        <v>20</v>
      </c>
    </row>
    <row r="26" spans="3:33" ht="24.75" thickBot="1">
      <c r="C26" s="76" t="s">
        <v>110</v>
      </c>
      <c r="D26" s="77"/>
      <c r="U26" s="45">
        <v>20</v>
      </c>
      <c r="V26" s="47">
        <v>1118000</v>
      </c>
      <c r="W26" s="47">
        <v>872040000</v>
      </c>
      <c r="X26" s="48"/>
      <c r="Y26" s="47">
        <v>1229800000</v>
      </c>
      <c r="Z26" s="47">
        <v>357760000</v>
      </c>
      <c r="AB26" s="50">
        <v>213958283</v>
      </c>
      <c r="AC26" s="51">
        <v>213958283</v>
      </c>
      <c r="AD26" s="51">
        <v>3708041717</v>
      </c>
      <c r="AE26" s="51">
        <v>3922000000</v>
      </c>
      <c r="AF26" s="52">
        <v>0</v>
      </c>
      <c r="AG26" s="41">
        <v>21</v>
      </c>
    </row>
    <row r="27" spans="3:33" ht="24.75" thickBot="1">
      <c r="C27" s="30" t="s">
        <v>87</v>
      </c>
      <c r="D27" s="32" t="s">
        <v>29</v>
      </c>
      <c r="AB27" s="50">
        <v>213958283</v>
      </c>
      <c r="AC27" s="51">
        <v>213958283</v>
      </c>
      <c r="AD27" s="51">
        <v>3708041717</v>
      </c>
      <c r="AE27" s="51">
        <v>3922000000</v>
      </c>
      <c r="AF27" s="52">
        <v>0</v>
      </c>
      <c r="AG27" s="41">
        <v>22</v>
      </c>
    </row>
    <row r="28" spans="3:33">
      <c r="C28" s="14" t="s">
        <v>66</v>
      </c>
      <c r="D28" s="19">
        <v>1</v>
      </c>
    </row>
    <row r="29" spans="3:33" ht="23.25" thickBot="1">
      <c r="C29" s="14" t="s">
        <v>93</v>
      </c>
      <c r="D29" s="18">
        <v>3</v>
      </c>
    </row>
    <row r="30" spans="3:33" ht="25.5" thickBot="1">
      <c r="C30" s="14" t="s">
        <v>94</v>
      </c>
      <c r="D30" s="18">
        <v>20</v>
      </c>
      <c r="V30" s="54" t="s">
        <v>149</v>
      </c>
      <c r="W30" s="55" t="s">
        <v>150</v>
      </c>
      <c r="X30" s="55" t="s">
        <v>151</v>
      </c>
      <c r="Y30" s="55" t="s">
        <v>152</v>
      </c>
      <c r="AB30" s="49" t="s">
        <v>160</v>
      </c>
      <c r="AC30" s="60" t="s">
        <v>161</v>
      </c>
      <c r="AD30" s="49" t="s">
        <v>162</v>
      </c>
    </row>
    <row r="31" spans="3:33" ht="25.5" thickBot="1">
      <c r="C31" s="14" t="s">
        <v>95</v>
      </c>
      <c r="D31" s="18"/>
      <c r="V31" s="56">
        <v>622782692</v>
      </c>
      <c r="W31" s="57">
        <v>26655010</v>
      </c>
      <c r="X31" s="57">
        <v>579069217</v>
      </c>
      <c r="Y31" s="43" t="s">
        <v>153</v>
      </c>
      <c r="AB31" s="41">
        <v>1</v>
      </c>
      <c r="AC31" s="59" t="s">
        <v>163</v>
      </c>
      <c r="AD31" s="50">
        <v>3253663214</v>
      </c>
    </row>
    <row r="32" spans="3:33" ht="25.5" thickBot="1">
      <c r="C32" s="14" t="s">
        <v>96</v>
      </c>
      <c r="D32" s="18"/>
      <c r="V32" s="56">
        <v>35853214</v>
      </c>
      <c r="W32" s="57">
        <v>15775414</v>
      </c>
      <c r="X32" s="58">
        <v>0</v>
      </c>
      <c r="Y32" s="43" t="s">
        <v>154</v>
      </c>
      <c r="AB32" s="41">
        <v>2</v>
      </c>
      <c r="AC32" s="59" t="s">
        <v>164</v>
      </c>
      <c r="AD32" s="50">
        <v>29874220</v>
      </c>
    </row>
    <row r="33" spans="3:30" ht="25.5" thickBot="1">
      <c r="C33" s="14" t="s">
        <v>92</v>
      </c>
      <c r="D33" s="19">
        <v>0.2303</v>
      </c>
      <c r="V33" s="56">
        <v>64288522</v>
      </c>
      <c r="W33" s="57">
        <v>28286950</v>
      </c>
      <c r="X33" s="58">
        <v>0</v>
      </c>
      <c r="Y33" s="43" t="s">
        <v>82</v>
      </c>
      <c r="AB33" s="41">
        <v>3</v>
      </c>
      <c r="AC33" s="59" t="s">
        <v>165</v>
      </c>
      <c r="AD33" s="50">
        <v>17042</v>
      </c>
    </row>
    <row r="34" spans="3:30" ht="25.5" thickBot="1">
      <c r="C34" s="21" t="s">
        <v>133</v>
      </c>
      <c r="D34" s="40" t="s">
        <v>134</v>
      </c>
      <c r="V34" s="56">
        <v>9890542</v>
      </c>
      <c r="W34" s="57">
        <v>4351838</v>
      </c>
      <c r="X34" s="58">
        <v>0</v>
      </c>
      <c r="Y34" s="43" t="s">
        <v>155</v>
      </c>
      <c r="AB34" s="41">
        <v>4</v>
      </c>
      <c r="AC34" s="59" t="s">
        <v>166</v>
      </c>
      <c r="AD34" s="50">
        <v>818730</v>
      </c>
    </row>
    <row r="35" spans="3:30" ht="25.5" thickBot="1">
      <c r="V35" s="56">
        <v>98658155</v>
      </c>
      <c r="W35" s="57">
        <v>14687455</v>
      </c>
      <c r="X35" s="57">
        <v>67235903</v>
      </c>
      <c r="Y35" s="43" t="s">
        <v>156</v>
      </c>
      <c r="AB35" s="41">
        <v>5</v>
      </c>
      <c r="AC35" s="59" t="s">
        <v>167</v>
      </c>
      <c r="AD35" s="50">
        <v>8273828</v>
      </c>
    </row>
    <row r="36" spans="3:30" ht="25.5" thickBot="1">
      <c r="C36" s="74" t="s">
        <v>73</v>
      </c>
      <c r="D36" s="75"/>
      <c r="F36" s="7"/>
      <c r="V36" s="56">
        <v>12363177</v>
      </c>
      <c r="W36" s="57">
        <v>5439798</v>
      </c>
      <c r="X36" s="58">
        <v>0</v>
      </c>
      <c r="Y36" s="43" t="s">
        <v>157</v>
      </c>
      <c r="AB36" s="41">
        <v>6</v>
      </c>
      <c r="AC36" s="59" t="s">
        <v>168</v>
      </c>
      <c r="AD36" s="50">
        <v>314014</v>
      </c>
    </row>
    <row r="37" spans="3:30" ht="25.5" thickBot="1">
      <c r="C37" s="30" t="s">
        <v>74</v>
      </c>
      <c r="D37" s="31" t="s">
        <v>90</v>
      </c>
      <c r="F37" s="7"/>
      <c r="V37" s="56">
        <v>15948499</v>
      </c>
      <c r="W37" s="57">
        <v>1631939</v>
      </c>
      <c r="X37" s="57">
        <v>12606732</v>
      </c>
      <c r="Y37" s="43" t="s">
        <v>158</v>
      </c>
      <c r="AB37" s="41">
        <v>7</v>
      </c>
      <c r="AC37" s="59" t="s">
        <v>169</v>
      </c>
      <c r="AD37" s="50">
        <v>36743494</v>
      </c>
    </row>
    <row r="38" spans="3:30" ht="25.5" thickBot="1">
      <c r="C38" s="17" t="s">
        <v>124</v>
      </c>
      <c r="D38" s="40" t="s">
        <v>130</v>
      </c>
      <c r="F38" s="7"/>
      <c r="V38" s="56">
        <v>11225765</v>
      </c>
      <c r="W38" s="57">
        <v>3263879</v>
      </c>
      <c r="X38" s="57">
        <v>3922094</v>
      </c>
      <c r="Y38" s="43" t="s">
        <v>71</v>
      </c>
      <c r="AB38" s="41">
        <v>8</v>
      </c>
      <c r="AC38" s="59" t="s">
        <v>170</v>
      </c>
      <c r="AD38" s="50">
        <v>28677205</v>
      </c>
    </row>
    <row r="39" spans="3:30" ht="25.5" thickBot="1">
      <c r="C39" s="53" t="s">
        <v>127</v>
      </c>
      <c r="D39" s="40" t="s">
        <v>129</v>
      </c>
      <c r="F39" s="7"/>
      <c r="V39" s="56">
        <v>871010565</v>
      </c>
      <c r="W39" s="57">
        <v>100092283</v>
      </c>
      <c r="X39" s="57">
        <v>662833947</v>
      </c>
      <c r="Y39" s="43" t="s">
        <v>159</v>
      </c>
      <c r="AB39" s="41">
        <v>9</v>
      </c>
      <c r="AC39" s="59" t="s">
        <v>171</v>
      </c>
      <c r="AD39" s="50">
        <v>9991544</v>
      </c>
    </row>
    <row r="40" spans="3:30" ht="24.75" thickBot="1">
      <c r="C40" s="17" t="s">
        <v>125</v>
      </c>
      <c r="D40" s="40" t="s">
        <v>196</v>
      </c>
      <c r="F40" s="7"/>
      <c r="AB40" s="72" t="s">
        <v>172</v>
      </c>
      <c r="AC40" s="73"/>
      <c r="AD40" s="93">
        <v>3368526666</v>
      </c>
    </row>
    <row r="41" spans="3:30" ht="23.25" thickBot="1">
      <c r="C41" s="17" t="s">
        <v>126</v>
      </c>
      <c r="D41" s="40" t="s">
        <v>128</v>
      </c>
      <c r="F41" s="7"/>
    </row>
    <row r="42" spans="3:30" ht="23.25" thickBot="1">
      <c r="C42" s="10" t="s">
        <v>75</v>
      </c>
      <c r="D42" s="40" t="s">
        <v>132</v>
      </c>
      <c r="AB42" s="49" t="s">
        <v>160</v>
      </c>
      <c r="AC42" s="60" t="s">
        <v>161</v>
      </c>
      <c r="AD42" s="49" t="s">
        <v>162</v>
      </c>
    </row>
    <row r="43" spans="3:30" ht="23.25" thickBot="1">
      <c r="C43" s="10" t="s">
        <v>76</v>
      </c>
      <c r="D43" s="19">
        <v>1</v>
      </c>
      <c r="AB43" s="41">
        <v>1</v>
      </c>
      <c r="AC43" s="59" t="s">
        <v>164</v>
      </c>
      <c r="AD43" s="94">
        <v>277017</v>
      </c>
    </row>
    <row r="44" spans="3:30" ht="23.25" thickBot="1">
      <c r="C44" s="12" t="s">
        <v>77</v>
      </c>
      <c r="D44" s="20" t="s">
        <v>131</v>
      </c>
      <c r="AB44" s="41">
        <v>2</v>
      </c>
      <c r="AC44" s="59" t="s">
        <v>167</v>
      </c>
      <c r="AD44" s="94">
        <v>6619654</v>
      </c>
    </row>
    <row r="45" spans="3:30" ht="23.25" thickBot="1">
      <c r="AB45" s="41">
        <v>3</v>
      </c>
      <c r="AC45" s="59" t="s">
        <v>168</v>
      </c>
      <c r="AD45" s="94">
        <v>9792</v>
      </c>
    </row>
    <row r="46" spans="3:30" ht="24.75" thickBot="1">
      <c r="C46" s="74" t="s">
        <v>78</v>
      </c>
      <c r="D46" s="75"/>
      <c r="AB46" s="41">
        <v>4</v>
      </c>
      <c r="AC46" s="59" t="s">
        <v>169</v>
      </c>
      <c r="AD46" s="94">
        <v>13903806</v>
      </c>
    </row>
    <row r="47" spans="3:30" ht="24.75" thickBot="1">
      <c r="C47" s="30" t="s">
        <v>87</v>
      </c>
      <c r="D47" s="31" t="s">
        <v>89</v>
      </c>
      <c r="AB47" s="41">
        <v>5</v>
      </c>
      <c r="AC47" s="59" t="s">
        <v>173</v>
      </c>
      <c r="AD47" s="94">
        <v>17594865</v>
      </c>
    </row>
    <row r="48" spans="3:30" ht="23.25" thickBot="1">
      <c r="C48" s="14" t="s">
        <v>79</v>
      </c>
      <c r="D48" s="65">
        <f>V31+AD31+AD32+AD43+AD52+AD61+AD72+AD81</f>
        <v>3923478375</v>
      </c>
      <c r="E48" s="82">
        <f>D48/$D$54*100</f>
        <v>88.886294056322157</v>
      </c>
      <c r="AB48" s="41">
        <v>6</v>
      </c>
      <c r="AC48" s="59" t="s">
        <v>174</v>
      </c>
      <c r="AD48" s="94">
        <v>3849330</v>
      </c>
    </row>
    <row r="49" spans="3:30" ht="24.75" thickBot="1">
      <c r="C49" s="14" t="s">
        <v>112</v>
      </c>
      <c r="D49" s="65">
        <f>V32+AD33+AD34+AD35+AD36+AD44+AD45+AD53+AD54+AD62+AD64+AD63+AD73+AD74+AD82+AD83+AD90+AD91+AD92</f>
        <v>68348285</v>
      </c>
      <c r="E49" s="82">
        <f t="shared" ref="E49:E53" si="0">D49/$D$54*100</f>
        <v>1.5484285060588139</v>
      </c>
      <c r="AB49" s="72" t="s">
        <v>172</v>
      </c>
      <c r="AC49" s="73"/>
      <c r="AD49" s="93">
        <v>42342591</v>
      </c>
    </row>
    <row r="50" spans="3:30" ht="23.25" thickBot="1">
      <c r="C50" s="14" t="s">
        <v>80</v>
      </c>
      <c r="D50" s="65">
        <f>V34+AD37+AD46+AD55+AD65+AD75+AD84+AD93</f>
        <v>90919737</v>
      </c>
      <c r="E50" s="82">
        <f t="shared" si="0"/>
        <v>2.059784126758561</v>
      </c>
    </row>
    <row r="51" spans="3:30" ht="23.25" thickBot="1">
      <c r="C51" s="14" t="s">
        <v>81</v>
      </c>
      <c r="D51" s="15">
        <f>V36</f>
        <v>12363177</v>
      </c>
      <c r="E51" s="82">
        <f t="shared" si="0"/>
        <v>0.28008743295096117</v>
      </c>
      <c r="AB51" s="49" t="s">
        <v>160</v>
      </c>
      <c r="AC51" s="60" t="s">
        <v>161</v>
      </c>
      <c r="AD51" s="49" t="s">
        <v>162</v>
      </c>
    </row>
    <row r="52" spans="3:30" ht="23.25" thickBot="1">
      <c r="C52" s="14" t="s">
        <v>82</v>
      </c>
      <c r="D52" s="65">
        <f>V33+AD38+AD47+AD56+AD67+AD76+AD85+AD94</f>
        <v>164855990</v>
      </c>
      <c r="E52" s="82">
        <f t="shared" si="0"/>
        <v>3.7348078932857902</v>
      </c>
      <c r="AB52" s="41">
        <v>1</v>
      </c>
      <c r="AC52" s="59" t="s">
        <v>164</v>
      </c>
      <c r="AD52" s="94">
        <v>4801267</v>
      </c>
    </row>
    <row r="53" spans="3:30" ht="23.25" thickBot="1">
      <c r="C53" s="14" t="s">
        <v>83</v>
      </c>
      <c r="D53" s="65">
        <f>V38+AD39+AD48+AD57+AD68+AD77+AD86+AD95</f>
        <v>37081385</v>
      </c>
      <c r="E53" s="82">
        <f t="shared" si="0"/>
        <v>0.84007775144821428</v>
      </c>
      <c r="AB53" s="41">
        <v>2</v>
      </c>
      <c r="AC53" s="59" t="s">
        <v>167</v>
      </c>
      <c r="AD53" s="94">
        <v>238506</v>
      </c>
    </row>
    <row r="54" spans="3:30" ht="23.25" thickBot="1">
      <c r="C54" s="14" t="s">
        <v>84</v>
      </c>
      <c r="D54" s="65">
        <f>V39+AD40+AD49+AD58+AD69+AD78+AD87+AD96</f>
        <v>4414042026</v>
      </c>
      <c r="AB54" s="41">
        <v>3</v>
      </c>
      <c r="AC54" s="59" t="s">
        <v>168</v>
      </c>
      <c r="AD54" s="94">
        <v>162768</v>
      </c>
    </row>
    <row r="55" spans="3:30" ht="23.25" thickBot="1">
      <c r="C55" s="21" t="s">
        <v>85</v>
      </c>
      <c r="D55" s="16">
        <v>100</v>
      </c>
      <c r="AB55" s="41">
        <v>4</v>
      </c>
      <c r="AC55" s="59" t="s">
        <v>169</v>
      </c>
      <c r="AD55" s="94">
        <v>6769915</v>
      </c>
    </row>
    <row r="56" spans="3:30" ht="23.25" thickBot="1">
      <c r="AB56" s="41">
        <v>5</v>
      </c>
      <c r="AC56" s="59" t="s">
        <v>170</v>
      </c>
      <c r="AD56" s="94">
        <v>9022480</v>
      </c>
    </row>
    <row r="57" spans="3:30" ht="24.75" thickBot="1">
      <c r="C57" s="74" t="s">
        <v>86</v>
      </c>
      <c r="D57" s="75"/>
      <c r="AB57" s="41">
        <v>6</v>
      </c>
      <c r="AC57" s="59" t="s">
        <v>171</v>
      </c>
      <c r="AD57" s="94">
        <v>2314186</v>
      </c>
    </row>
    <row r="58" spans="3:30" ht="24.75" thickBot="1">
      <c r="C58" s="10" t="s">
        <v>97</v>
      </c>
      <c r="D58" s="11">
        <f t="shared" ref="D58:D67" si="1">Z6+AB5</f>
        <v>-1356200797</v>
      </c>
      <c r="AB58" s="66" t="s">
        <v>172</v>
      </c>
      <c r="AC58" s="67"/>
      <c r="AD58" s="93">
        <v>25456039</v>
      </c>
    </row>
    <row r="59" spans="3:30" ht="23.25" thickBot="1">
      <c r="C59" s="10" t="s">
        <v>98</v>
      </c>
      <c r="D59" s="11">
        <f t="shared" si="1"/>
        <v>-215075966</v>
      </c>
    </row>
    <row r="60" spans="3:30" ht="23.25" thickBot="1">
      <c r="C60" s="10" t="s">
        <v>99</v>
      </c>
      <c r="D60" s="11">
        <f t="shared" si="1"/>
        <v>-12205311</v>
      </c>
      <c r="AB60" s="49" t="s">
        <v>160</v>
      </c>
      <c r="AC60" s="60" t="s">
        <v>161</v>
      </c>
      <c r="AD60" s="49" t="s">
        <v>162</v>
      </c>
    </row>
    <row r="61" spans="3:30" ht="23.25" thickBot="1">
      <c r="C61" s="10" t="s">
        <v>100</v>
      </c>
      <c r="D61" s="11">
        <f t="shared" si="1"/>
        <v>496832884</v>
      </c>
      <c r="AB61" s="41">
        <v>1</v>
      </c>
      <c r="AC61" s="59" t="s">
        <v>164</v>
      </c>
      <c r="AD61" s="94">
        <v>3525253</v>
      </c>
    </row>
    <row r="62" spans="3:30" ht="23.25" thickBot="1">
      <c r="C62" s="10" t="s">
        <v>101</v>
      </c>
      <c r="D62" s="11">
        <f t="shared" si="1"/>
        <v>528926626</v>
      </c>
      <c r="AB62" s="41">
        <v>2</v>
      </c>
      <c r="AC62" s="59" t="s">
        <v>166</v>
      </c>
      <c r="AD62" s="94">
        <v>19854</v>
      </c>
    </row>
    <row r="63" spans="3:30" ht="23.25" thickBot="1">
      <c r="C63" s="10" t="s">
        <v>102</v>
      </c>
      <c r="D63" s="11">
        <f t="shared" si="1"/>
        <v>550322455</v>
      </c>
      <c r="AB63" s="41">
        <v>3</v>
      </c>
      <c r="AC63" s="59" t="s">
        <v>167</v>
      </c>
      <c r="AD63" s="94">
        <v>3063337</v>
      </c>
    </row>
    <row r="64" spans="3:30" ht="23.25" thickBot="1">
      <c r="C64" s="10" t="s">
        <v>103</v>
      </c>
      <c r="D64" s="11">
        <f t="shared" si="1"/>
        <v>571718283</v>
      </c>
      <c r="AB64" s="41">
        <v>4</v>
      </c>
      <c r="AC64" s="59" t="s">
        <v>168</v>
      </c>
      <c r="AD64" s="94">
        <v>1090566</v>
      </c>
    </row>
    <row r="65" spans="3:30" ht="23.25" thickBot="1">
      <c r="C65" s="10" t="s">
        <v>104</v>
      </c>
      <c r="D65" s="11">
        <f t="shared" si="1"/>
        <v>571718283</v>
      </c>
      <c r="AB65" s="41">
        <v>5</v>
      </c>
      <c r="AC65" s="59" t="s">
        <v>169</v>
      </c>
      <c r="AD65" s="94">
        <v>10714068</v>
      </c>
    </row>
    <row r="66" spans="3:30" ht="23.25" thickBot="1">
      <c r="C66" s="10" t="s">
        <v>105</v>
      </c>
      <c r="D66" s="11">
        <f t="shared" si="1"/>
        <v>571718283</v>
      </c>
      <c r="AB66" s="41">
        <v>6</v>
      </c>
      <c r="AC66" s="59" t="s">
        <v>175</v>
      </c>
      <c r="AD66" s="95">
        <v>0</v>
      </c>
    </row>
    <row r="67" spans="3:30" ht="23.25" thickBot="1">
      <c r="C67" s="12" t="s">
        <v>106</v>
      </c>
      <c r="D67" s="11">
        <f t="shared" si="1"/>
        <v>571718283</v>
      </c>
      <c r="AB67" s="41">
        <v>7</v>
      </c>
      <c r="AC67" s="59" t="s">
        <v>170</v>
      </c>
      <c r="AD67" s="94">
        <v>16867888</v>
      </c>
    </row>
    <row r="68" spans="3:30" ht="23.25" thickBot="1">
      <c r="D68" s="5"/>
      <c r="AB68" s="41">
        <v>8</v>
      </c>
      <c r="AC68" s="59" t="s">
        <v>171</v>
      </c>
      <c r="AD68" s="94">
        <v>3528098</v>
      </c>
    </row>
    <row r="69" spans="3:30" ht="24.75" thickBot="1">
      <c r="C69" s="8" t="s">
        <v>53</v>
      </c>
      <c r="D69" s="9"/>
      <c r="AB69" s="66" t="s">
        <v>172</v>
      </c>
      <c r="AC69" s="67"/>
      <c r="AD69" s="93">
        <v>38809065</v>
      </c>
    </row>
    <row r="70" spans="3:30" ht="23.25" thickBot="1"/>
    <row r="71" spans="3:30" ht="23.25" thickBot="1">
      <c r="AB71" s="49" t="s">
        <v>160</v>
      </c>
      <c r="AC71" s="60" t="s">
        <v>161</v>
      </c>
      <c r="AD71" s="49" t="s">
        <v>162</v>
      </c>
    </row>
    <row r="72" spans="3:30" ht="23.25" thickBot="1">
      <c r="AB72" s="41">
        <v>1</v>
      </c>
      <c r="AC72" s="59" t="s">
        <v>164</v>
      </c>
      <c r="AD72" s="50">
        <v>8426619</v>
      </c>
    </row>
    <row r="73" spans="3:30" ht="23.25" thickBot="1">
      <c r="AB73" s="41">
        <v>2</v>
      </c>
      <c r="AC73" s="59" t="s">
        <v>167</v>
      </c>
      <c r="AD73" s="50">
        <v>1299480</v>
      </c>
    </row>
    <row r="74" spans="3:30" ht="23.25" thickBot="1">
      <c r="AB74" s="41">
        <v>3</v>
      </c>
      <c r="AC74" s="59" t="s">
        <v>168</v>
      </c>
      <c r="AD74" s="50">
        <v>156647</v>
      </c>
    </row>
    <row r="75" spans="3:30" ht="23.25" thickBot="1">
      <c r="AB75" s="41">
        <v>4</v>
      </c>
      <c r="AC75" s="59" t="s">
        <v>169</v>
      </c>
      <c r="AD75" s="50">
        <v>1859575</v>
      </c>
    </row>
    <row r="76" spans="3:30" ht="23.25" thickBot="1">
      <c r="AB76" s="41">
        <v>5</v>
      </c>
      <c r="AC76" s="59" t="s">
        <v>170</v>
      </c>
      <c r="AD76" s="50">
        <v>1627957</v>
      </c>
    </row>
    <row r="77" spans="3:30" ht="23.25" thickBot="1">
      <c r="AB77" s="41">
        <v>6</v>
      </c>
      <c r="AC77" s="59" t="s">
        <v>171</v>
      </c>
      <c r="AD77" s="50">
        <v>1337028</v>
      </c>
    </row>
    <row r="78" spans="3:30" ht="24.75" thickBot="1">
      <c r="AB78" s="66" t="s">
        <v>172</v>
      </c>
      <c r="AC78" s="67"/>
      <c r="AD78" s="96">
        <v>14707305</v>
      </c>
    </row>
    <row r="79" spans="3:30" ht="23.25" thickBot="1"/>
    <row r="80" spans="3:30" ht="23.25" thickBot="1">
      <c r="AB80" s="49" t="s">
        <v>160</v>
      </c>
      <c r="AC80" s="60" t="s">
        <v>161</v>
      </c>
      <c r="AD80" s="49" t="s">
        <v>162</v>
      </c>
    </row>
    <row r="81" spans="28:30" ht="23.25" thickBot="1">
      <c r="AB81" s="41">
        <v>1</v>
      </c>
      <c r="AC81" s="59" t="s">
        <v>164</v>
      </c>
      <c r="AD81" s="94">
        <v>128093</v>
      </c>
    </row>
    <row r="82" spans="28:30" ht="23.25" thickBot="1">
      <c r="AB82" s="41">
        <v>2</v>
      </c>
      <c r="AC82" s="59" t="s">
        <v>167</v>
      </c>
      <c r="AD82" s="94">
        <v>6674819</v>
      </c>
    </row>
    <row r="83" spans="28:30" ht="23.25" thickBot="1">
      <c r="AB83" s="41">
        <v>3</v>
      </c>
      <c r="AC83" s="59" t="s">
        <v>168</v>
      </c>
      <c r="AD83" s="94">
        <v>4205</v>
      </c>
    </row>
    <row r="84" spans="28:30" ht="23.25" thickBot="1">
      <c r="AB84" s="41">
        <v>4</v>
      </c>
      <c r="AC84" s="59" t="s">
        <v>169</v>
      </c>
      <c r="AD84" s="94">
        <v>2786056</v>
      </c>
    </row>
    <row r="85" spans="28:30" ht="23.25" thickBot="1">
      <c r="AB85" s="41">
        <v>5</v>
      </c>
      <c r="AC85" s="59" t="s">
        <v>173</v>
      </c>
      <c r="AD85" s="94">
        <v>4445928</v>
      </c>
    </row>
    <row r="86" spans="28:30" ht="23.25" thickBot="1">
      <c r="AB86" s="41">
        <v>6</v>
      </c>
      <c r="AC86" s="59" t="s">
        <v>174</v>
      </c>
      <c r="AD86" s="94">
        <v>1403908</v>
      </c>
    </row>
    <row r="87" spans="28:30" ht="24.75" thickBot="1">
      <c r="AB87" s="66" t="s">
        <v>172</v>
      </c>
      <c r="AC87" s="67"/>
      <c r="AD87" s="93">
        <v>15443004</v>
      </c>
    </row>
    <row r="88" spans="28:30" ht="23.25" thickBot="1"/>
    <row r="89" spans="28:30" ht="23.25" thickBot="1">
      <c r="AB89" s="61" t="s">
        <v>160</v>
      </c>
      <c r="AC89" s="62" t="s">
        <v>161</v>
      </c>
      <c r="AD89" s="61" t="s">
        <v>162</v>
      </c>
    </row>
    <row r="90" spans="28:30" ht="23.25" thickBot="1">
      <c r="AB90" s="63">
        <v>1</v>
      </c>
      <c r="AC90" s="64" t="s">
        <v>166</v>
      </c>
      <c r="AD90" s="97">
        <v>2925026</v>
      </c>
    </row>
    <row r="91" spans="28:30" ht="23.25" thickBot="1">
      <c r="AB91" s="63">
        <v>2</v>
      </c>
      <c r="AC91" s="64" t="s">
        <v>167</v>
      </c>
      <c r="AD91" s="97">
        <v>689102</v>
      </c>
    </row>
    <row r="92" spans="28:30" ht="23.25" thickBot="1">
      <c r="AB92" s="63">
        <v>3</v>
      </c>
      <c r="AC92" s="64" t="s">
        <v>168</v>
      </c>
      <c r="AD92" s="97">
        <v>117701</v>
      </c>
    </row>
    <row r="93" spans="28:30" ht="23.25" thickBot="1">
      <c r="AB93" s="63">
        <v>4</v>
      </c>
      <c r="AC93" s="64" t="s">
        <v>169</v>
      </c>
      <c r="AD93" s="97">
        <v>8252281</v>
      </c>
    </row>
    <row r="94" spans="28:30" ht="23.25" thickBot="1">
      <c r="AB94" s="63">
        <v>5</v>
      </c>
      <c r="AC94" s="64" t="s">
        <v>173</v>
      </c>
      <c r="AD94" s="97">
        <v>22331145</v>
      </c>
    </row>
    <row r="95" spans="28:30" ht="23.25" thickBot="1">
      <c r="AB95" s="63">
        <v>6</v>
      </c>
      <c r="AC95" s="64" t="s">
        <v>174</v>
      </c>
      <c r="AD95" s="97">
        <v>3431526</v>
      </c>
    </row>
    <row r="96" spans="28:30" ht="24.75" thickBot="1">
      <c r="AB96" s="68" t="s">
        <v>172</v>
      </c>
      <c r="AC96" s="69"/>
      <c r="AD96" s="98">
        <v>37746791</v>
      </c>
    </row>
  </sheetData>
  <mergeCells count="15">
    <mergeCell ref="C57:D57"/>
    <mergeCell ref="C5:D5"/>
    <mergeCell ref="C26:D26"/>
    <mergeCell ref="C36:D36"/>
    <mergeCell ref="C15:D15"/>
    <mergeCell ref="C46:D46"/>
    <mergeCell ref="AB69:AC69"/>
    <mergeCell ref="AB78:AC78"/>
    <mergeCell ref="AB87:AC87"/>
    <mergeCell ref="AB96:AC96"/>
    <mergeCell ref="U4:U5"/>
    <mergeCell ref="Z4:Z5"/>
    <mergeCell ref="AB40:AC40"/>
    <mergeCell ref="AB49:AC49"/>
    <mergeCell ref="AB58:AC58"/>
  </mergeCells>
  <phoneticPr fontId="2" type="noConversion"/>
  <dataValidations count="3">
    <dataValidation type="whole" allowBlank="1" showInputMessage="1" showErrorMessage="1" prompt="In % Between 0 to 100" sqref="D28" xr:uid="{4CE3B9A0-3267-41DB-83CC-B6ACE2F0C689}">
      <formula1>0</formula1>
      <formula2>1</formula2>
    </dataValidation>
    <dataValidation type="whole" operator="greaterThan" allowBlank="1" showInputMessage="1" showErrorMessage="1" prompt="All financial figures should be in Million Euros" sqref="D17:D24" xr:uid="{1EA9D7AE-1558-44CA-85CC-EE5DED86D9E7}">
      <formula1>0</formula1>
    </dataValidation>
    <dataValidation type="whole" allowBlank="1" showInputMessage="1" showErrorMessage="1" prompt="0 to 100 %" sqref="D9" xr:uid="{E1F331A2-9D10-46D6-8E47-7BA78491279B}">
      <formula1>0</formula1>
      <formula2>1</formula2>
    </dataValidation>
  </dataValidations>
  <pageMargins left="0.7" right="0.7" top="0.75" bottom="0.75" header="0.3" footer="0.3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188E6-98D5-42A4-9200-383706786F4A}">
  <sheetPr>
    <pageSetUpPr fitToPage="1"/>
  </sheetPr>
  <dimension ref="B1:C70"/>
  <sheetViews>
    <sheetView workbookViewId="0">
      <selection activeCell="D45" sqref="D45"/>
    </sheetView>
  </sheetViews>
  <sheetFormatPr defaultColWidth="9.125" defaultRowHeight="14.25"/>
  <cols>
    <col min="1" max="1" width="5.125" style="1" customWidth="1"/>
    <col min="2" max="2" width="31" style="1" bestFit="1" customWidth="1"/>
    <col min="3" max="3" width="82.625" style="3" customWidth="1"/>
    <col min="4" max="4" width="7.375" style="1" customWidth="1"/>
    <col min="5" max="16384" width="9.125" style="1"/>
  </cols>
  <sheetData>
    <row r="1" spans="2:3" ht="15" thickBot="1"/>
    <row r="2" spans="2:3">
      <c r="B2" s="33" t="s">
        <v>57</v>
      </c>
      <c r="C2" s="84" t="s">
        <v>185</v>
      </c>
    </row>
    <row r="3" spans="2:3" ht="15" thickBot="1">
      <c r="B3" s="34" t="s">
        <v>58</v>
      </c>
      <c r="C3" s="85" t="s">
        <v>186</v>
      </c>
    </row>
    <row r="4" spans="2:3" ht="15" thickBot="1"/>
    <row r="5" spans="2:3" ht="15">
      <c r="B5" s="78" t="s">
        <v>16</v>
      </c>
      <c r="C5" s="79"/>
    </row>
    <row r="6" spans="2:3">
      <c r="B6" s="35" t="s">
        <v>0</v>
      </c>
      <c r="C6" s="86" t="s">
        <v>187</v>
      </c>
    </row>
    <row r="7" spans="2:3">
      <c r="B7" s="35" t="s">
        <v>1</v>
      </c>
      <c r="C7" s="86" t="s">
        <v>191</v>
      </c>
    </row>
    <row r="8" spans="2:3">
      <c r="B8" s="35" t="s">
        <v>2</v>
      </c>
      <c r="C8" s="86" t="s">
        <v>188</v>
      </c>
    </row>
    <row r="9" spans="2:3">
      <c r="B9" s="35" t="s">
        <v>46</v>
      </c>
      <c r="C9" s="87">
        <v>0</v>
      </c>
    </row>
    <row r="10" spans="2:3">
      <c r="B10" s="35" t="s">
        <v>3</v>
      </c>
      <c r="C10" s="88" t="s">
        <v>192</v>
      </c>
    </row>
    <row r="11" spans="2:3">
      <c r="B11" s="35" t="s">
        <v>4</v>
      </c>
      <c r="C11" s="89" t="s">
        <v>193</v>
      </c>
    </row>
    <row r="12" spans="2:3">
      <c r="B12" s="35" t="s">
        <v>5</v>
      </c>
      <c r="C12" s="89" t="s">
        <v>189</v>
      </c>
    </row>
    <row r="13" spans="2:3" ht="15" thickBot="1">
      <c r="B13" s="34" t="s">
        <v>6</v>
      </c>
      <c r="C13" s="90" t="s">
        <v>190</v>
      </c>
    </row>
    <row r="14" spans="2:3" ht="15" thickBot="1"/>
    <row r="15" spans="2:3" ht="15">
      <c r="B15" s="78" t="s">
        <v>7</v>
      </c>
      <c r="C15" s="79"/>
    </row>
    <row r="16" spans="2:3" ht="15">
      <c r="B16" s="38" t="s">
        <v>8</v>
      </c>
      <c r="C16" s="39" t="s">
        <v>9</v>
      </c>
    </row>
    <row r="17" spans="2:3">
      <c r="B17" s="35" t="s">
        <v>45</v>
      </c>
      <c r="C17" s="81">
        <f>FA!D17</f>
        <v>2050</v>
      </c>
    </row>
    <row r="18" spans="2:3">
      <c r="B18" s="35" t="s">
        <v>10</v>
      </c>
      <c r="C18" s="81">
        <f>FA!D18</f>
        <v>0</v>
      </c>
    </row>
    <row r="19" spans="2:3">
      <c r="B19" s="35" t="s">
        <v>11</v>
      </c>
      <c r="C19" s="81">
        <f>FA!D19</f>
        <v>0</v>
      </c>
    </row>
    <row r="20" spans="2:3">
      <c r="B20" s="35" t="s">
        <v>47</v>
      </c>
      <c r="C20" s="81">
        <f>FA!D20</f>
        <v>0</v>
      </c>
    </row>
    <row r="21" spans="2:3">
      <c r="B21" s="35" t="s">
        <v>12</v>
      </c>
      <c r="C21" s="81">
        <f>FA!D21</f>
        <v>155</v>
      </c>
    </row>
    <row r="22" spans="2:3">
      <c r="B22" s="35" t="s">
        <v>13</v>
      </c>
      <c r="C22" s="81">
        <f>FA!D22</f>
        <v>100</v>
      </c>
    </row>
    <row r="23" spans="2:3">
      <c r="B23" s="35" t="s">
        <v>14</v>
      </c>
      <c r="C23" s="81">
        <f>FA!D23</f>
        <v>105</v>
      </c>
    </row>
    <row r="24" spans="2:3" ht="15" thickBot="1">
      <c r="B24" s="34" t="s">
        <v>15</v>
      </c>
      <c r="C24" s="81">
        <f>FA!D24</f>
        <v>49</v>
      </c>
    </row>
    <row r="25" spans="2:3" ht="15" thickBot="1"/>
    <row r="26" spans="2:3" ht="15">
      <c r="B26" s="78" t="s">
        <v>17</v>
      </c>
      <c r="C26" s="79"/>
    </row>
    <row r="27" spans="2:3" ht="15">
      <c r="B27" s="38" t="s">
        <v>18</v>
      </c>
      <c r="C27" s="39" t="s">
        <v>19</v>
      </c>
    </row>
    <row r="28" spans="2:3">
      <c r="B28" s="35" t="s">
        <v>20</v>
      </c>
      <c r="C28" s="91">
        <f>FA!D28</f>
        <v>1</v>
      </c>
    </row>
    <row r="29" spans="2:3">
      <c r="B29" s="35" t="s">
        <v>54</v>
      </c>
      <c r="C29" s="83">
        <v>3</v>
      </c>
    </row>
    <row r="30" spans="2:3">
      <c r="B30" s="35" t="s">
        <v>55</v>
      </c>
      <c r="C30" s="83">
        <v>20</v>
      </c>
    </row>
    <row r="31" spans="2:3">
      <c r="B31" s="35" t="s">
        <v>21</v>
      </c>
      <c r="C31" s="83"/>
    </row>
    <row r="32" spans="2:3">
      <c r="B32" s="35" t="s">
        <v>22</v>
      </c>
      <c r="C32" s="83"/>
    </row>
    <row r="33" spans="2:3">
      <c r="B33" s="35" t="s">
        <v>23</v>
      </c>
      <c r="C33" s="91">
        <v>0.23</v>
      </c>
    </row>
    <row r="34" spans="2:3" ht="15" thickBot="1">
      <c r="B34" s="34" t="s">
        <v>24</v>
      </c>
      <c r="C34" s="92" t="s">
        <v>194</v>
      </c>
    </row>
    <row r="35" spans="2:3" ht="15" thickBot="1"/>
    <row r="36" spans="2:3" ht="15">
      <c r="B36" s="78" t="s">
        <v>48</v>
      </c>
      <c r="C36" s="79"/>
    </row>
    <row r="37" spans="2:3" ht="15">
      <c r="B37" s="38" t="s">
        <v>25</v>
      </c>
      <c r="C37" s="39" t="s">
        <v>56</v>
      </c>
    </row>
    <row r="38" spans="2:3">
      <c r="B38" s="36" t="s">
        <v>176</v>
      </c>
      <c r="C38" s="83" t="s">
        <v>180</v>
      </c>
    </row>
    <row r="39" spans="2:3">
      <c r="B39" s="36" t="s">
        <v>177</v>
      </c>
      <c r="C39" s="83" t="s">
        <v>181</v>
      </c>
    </row>
    <row r="40" spans="2:3">
      <c r="B40" s="36" t="s">
        <v>178</v>
      </c>
      <c r="C40" s="83" t="s">
        <v>182</v>
      </c>
    </row>
    <row r="41" spans="2:3">
      <c r="B41" s="36" t="s">
        <v>179</v>
      </c>
      <c r="C41" s="83" t="s">
        <v>183</v>
      </c>
    </row>
    <row r="42" spans="2:3">
      <c r="B42" s="35" t="s">
        <v>26</v>
      </c>
      <c r="C42" s="83" t="s">
        <v>195</v>
      </c>
    </row>
    <row r="43" spans="2:3">
      <c r="B43" s="35" t="s">
        <v>49</v>
      </c>
      <c r="C43" s="83">
        <v>100</v>
      </c>
    </row>
    <row r="44" spans="2:3" ht="15" thickBot="1">
      <c r="B44" s="34" t="s">
        <v>27</v>
      </c>
      <c r="C44" s="83" t="s">
        <v>184</v>
      </c>
    </row>
    <row r="45" spans="2:3" ht="15" thickBot="1"/>
    <row r="46" spans="2:3" ht="15">
      <c r="B46" s="78" t="s">
        <v>28</v>
      </c>
      <c r="C46" s="79"/>
    </row>
    <row r="47" spans="2:3" ht="15">
      <c r="B47" s="38" t="s">
        <v>8</v>
      </c>
      <c r="C47" s="101" t="s">
        <v>197</v>
      </c>
    </row>
    <row r="48" spans="2:3">
      <c r="B48" s="35" t="s">
        <v>30</v>
      </c>
      <c r="C48" s="99">
        <f>FA!D48</f>
        <v>3923478375</v>
      </c>
    </row>
    <row r="49" spans="2:3">
      <c r="B49" s="35" t="s">
        <v>12</v>
      </c>
      <c r="C49" s="99">
        <f>FA!D49</f>
        <v>68348285</v>
      </c>
    </row>
    <row r="50" spans="2:3">
      <c r="B50" s="35" t="s">
        <v>31</v>
      </c>
      <c r="C50" s="99">
        <f>FA!D50</f>
        <v>90919737</v>
      </c>
    </row>
    <row r="51" spans="2:3">
      <c r="B51" s="35" t="s">
        <v>32</v>
      </c>
      <c r="C51" s="99">
        <f>FA!D51</f>
        <v>12363177</v>
      </c>
    </row>
    <row r="52" spans="2:3">
      <c r="B52" s="35" t="s">
        <v>50</v>
      </c>
      <c r="C52" s="99">
        <f>FA!D52</f>
        <v>164855990</v>
      </c>
    </row>
    <row r="53" spans="2:3">
      <c r="B53" s="35" t="s">
        <v>33</v>
      </c>
      <c r="C53" s="99">
        <f>FA!D53</f>
        <v>37081385</v>
      </c>
    </row>
    <row r="54" spans="2:3">
      <c r="B54" s="35" t="s">
        <v>51</v>
      </c>
      <c r="C54" s="99">
        <f>FA!D54</f>
        <v>4414042026</v>
      </c>
    </row>
    <row r="55" spans="2:3" ht="15" thickBot="1">
      <c r="B55" s="34" t="s">
        <v>52</v>
      </c>
      <c r="C55" s="100">
        <f>FA!D55</f>
        <v>100</v>
      </c>
    </row>
    <row r="56" spans="2:3" ht="15" thickBot="1"/>
    <row r="57" spans="2:3" ht="15">
      <c r="B57" s="78" t="s">
        <v>34</v>
      </c>
      <c r="C57" s="79"/>
    </row>
    <row r="58" spans="2:3">
      <c r="B58" s="37"/>
      <c r="C58" s="80" t="s">
        <v>34</v>
      </c>
    </row>
    <row r="59" spans="2:3">
      <c r="B59" s="35" t="s">
        <v>35</v>
      </c>
      <c r="C59" s="81">
        <f>FA!D58</f>
        <v>-1356200797</v>
      </c>
    </row>
    <row r="60" spans="2:3">
      <c r="B60" s="35" t="s">
        <v>36</v>
      </c>
      <c r="C60" s="81">
        <f>FA!D59</f>
        <v>-215075966</v>
      </c>
    </row>
    <row r="61" spans="2:3">
      <c r="B61" s="35" t="s">
        <v>37</v>
      </c>
      <c r="C61" s="81">
        <f>FA!D60</f>
        <v>-12205311</v>
      </c>
    </row>
    <row r="62" spans="2:3">
      <c r="B62" s="35" t="s">
        <v>38</v>
      </c>
      <c r="C62" s="81">
        <f>FA!D61</f>
        <v>496832884</v>
      </c>
    </row>
    <row r="63" spans="2:3">
      <c r="B63" s="35" t="s">
        <v>39</v>
      </c>
      <c r="C63" s="81">
        <f>FA!D62</f>
        <v>528926626</v>
      </c>
    </row>
    <row r="64" spans="2:3">
      <c r="B64" s="35" t="s">
        <v>40</v>
      </c>
      <c r="C64" s="81">
        <f>FA!D63</f>
        <v>550322455</v>
      </c>
    </row>
    <row r="65" spans="2:3">
      <c r="B65" s="35" t="s">
        <v>41</v>
      </c>
      <c r="C65" s="81">
        <f>FA!D64</f>
        <v>571718283</v>
      </c>
    </row>
    <row r="66" spans="2:3">
      <c r="B66" s="35" t="s">
        <v>42</v>
      </c>
      <c r="C66" s="81">
        <f>FA!D65</f>
        <v>571718283</v>
      </c>
    </row>
    <row r="67" spans="2:3">
      <c r="B67" s="35" t="s">
        <v>43</v>
      </c>
      <c r="C67" s="81">
        <f>FA!D66</f>
        <v>571718283</v>
      </c>
    </row>
    <row r="68" spans="2:3" ht="15" thickBot="1">
      <c r="B68" s="34" t="s">
        <v>44</v>
      </c>
      <c r="C68" s="81">
        <f>FA!D67</f>
        <v>571718283</v>
      </c>
    </row>
    <row r="69" spans="2:3" ht="15" thickBot="1">
      <c r="C69" s="1"/>
    </row>
    <row r="70" spans="2:3" ht="15" thickBot="1">
      <c r="B70" s="2" t="s">
        <v>53</v>
      </c>
      <c r="C70" s="4"/>
    </row>
  </sheetData>
  <mergeCells count="6">
    <mergeCell ref="B5:C5"/>
    <mergeCell ref="B57:C57"/>
    <mergeCell ref="B46:C46"/>
    <mergeCell ref="B36:C36"/>
    <mergeCell ref="B26:C26"/>
    <mergeCell ref="B15:C15"/>
  </mergeCells>
  <dataValidations count="3">
    <dataValidation type="whole" allowBlank="1" showInputMessage="1" showErrorMessage="1" prompt="In % Between 0 to 100" sqref="C28" xr:uid="{F12FB328-0301-4FD4-A10F-A27BF48D35FA}">
      <formula1>0</formula1>
      <formula2>1</formula2>
    </dataValidation>
    <dataValidation type="whole" operator="greaterThan" allowBlank="1" showInputMessage="1" showErrorMessage="1" prompt="All financial figures should be in Million Euros" sqref="C17:C24" xr:uid="{007D2280-65AE-421B-A7C3-E967DE771D6B}">
      <formula1>0</formula1>
    </dataValidation>
    <dataValidation type="whole" allowBlank="1" showInputMessage="1" showErrorMessage="1" prompt="0 to 100 %" sqref="C9" xr:uid="{95904139-FDAF-49CB-8770-1B5A75A3023B}">
      <formula1>0</formula1>
      <formula2>1</formula2>
    </dataValidation>
  </dataValidation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</vt:lpstr>
      <vt:lpstr>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Hosein Sadat</dc:creator>
  <cp:lastModifiedBy>Administrator</cp:lastModifiedBy>
  <cp:lastPrinted>2025-12-06T06:35:43Z</cp:lastPrinted>
  <dcterms:created xsi:type="dcterms:W3CDTF">2025-11-05T07:32:36Z</dcterms:created>
  <dcterms:modified xsi:type="dcterms:W3CDTF">2025-12-08T06:07:36Z</dcterms:modified>
</cp:coreProperties>
</file>