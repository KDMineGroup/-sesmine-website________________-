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A" sheetId="1" state="visible" r:id="rId1"/>
    <sheet xmlns:r="http://schemas.openxmlformats.org/officeDocument/2006/relationships" name="E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3">
    <font>
      <name val="Arial"/>
      <family val="2"/>
      <color theme="1"/>
      <sz val="11"/>
      <scheme val="minor"/>
    </font>
    <font>
      <name val="NimbusSanL-Regu"/>
      <color rgb="FF404040"/>
      <sz val="9"/>
    </font>
    <font>
      <name val="Arial"/>
      <family val="2"/>
      <sz val="8"/>
      <scheme val="minor"/>
    </font>
    <font>
      <name val="Arial"/>
      <family val="2"/>
      <color theme="1"/>
      <sz val="11"/>
      <scheme val="minor"/>
    </font>
    <font>
      <name val="B Nazanin"/>
      <charset val="178"/>
      <color theme="1"/>
      <sz val="14"/>
    </font>
    <font>
      <name val="B Nazanin"/>
      <charset val="178"/>
      <color rgb="FF404040"/>
      <sz val="14"/>
    </font>
    <font>
      <name val="B Nazanin"/>
      <charset val="178"/>
      <b val="1"/>
      <color theme="1"/>
      <sz val="14"/>
    </font>
    <font>
      <name val="Arial"/>
      <family val="2"/>
      <b val="1"/>
      <color theme="1"/>
      <sz val="11"/>
      <scheme val="minor"/>
    </font>
    <font>
      <name val="Cambria"/>
      <family val="1"/>
      <color theme="1"/>
      <sz val="12"/>
    </font>
    <font>
      <name val="B Nazanin"/>
      <charset val="178"/>
      <color theme="1"/>
      <sz val="16"/>
    </font>
    <font>
      <name val="Cambria"/>
      <family val="1"/>
      <color theme="1"/>
      <sz val="16"/>
    </font>
    <font>
      <name val="Calibri"/>
      <family val="2"/>
      <color theme="1"/>
      <sz val="16"/>
    </font>
    <font>
      <name val="Cambria"/>
      <family val="1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3" fillId="0" borderId="0"/>
    <xf numFmtId="43" fontId="3" fillId="0" borderId="0"/>
    <xf numFmtId="9" fontId="3" fillId="0" borderId="0"/>
  </cellStyleXfs>
  <cellXfs count="116">
    <xf numFmtId="0" fontId="0" fillId="0" borderId="0" pivotButton="0" quotePrefix="0" xfId="0"/>
    <xf numFmtId="0" fontId="0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readingOrder="1"/>
    </xf>
    <xf numFmtId="49" fontId="0" fillId="2" borderId="2" applyAlignment="1" pivotButton="0" quotePrefix="0" xfId="0">
      <alignment readingOrder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49" fontId="4" fillId="2" borderId="2" applyAlignment="1" pivotButton="0" quotePrefix="0" xfId="0">
      <alignment horizontal="center" vertical="center" readingOrder="1"/>
    </xf>
    <xf numFmtId="0" fontId="4" fillId="2" borderId="5" applyAlignment="1" pivotButton="0" quotePrefix="0" xfId="0">
      <alignment horizontal="center" vertical="center"/>
    </xf>
    <xf numFmtId="164" fontId="4" fillId="0" borderId="6" applyAlignment="1" applyProtection="1" pivotButton="0" quotePrefix="0" xfId="1">
      <alignment horizontal="center" vertical="center" readingOrder="1"/>
      <protection locked="0" hidden="0"/>
    </xf>
    <xf numFmtId="0" fontId="4" fillId="2" borderId="7" applyAlignment="1" pivotButton="0" quotePrefix="0" xfId="0">
      <alignment horizontal="center" vertical="center"/>
    </xf>
    <xf numFmtId="164" fontId="4" fillId="0" borderId="8" applyAlignment="1" applyProtection="1" pivotButton="0" quotePrefix="0" xfId="1">
      <alignment horizontal="center" vertical="center" readingOrder="1"/>
      <protection locked="0" hidden="0"/>
    </xf>
    <xf numFmtId="0" fontId="4" fillId="2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center" vertical="center" readingOrder="1"/>
      <protection locked="0" hidden="0"/>
    </xf>
    <xf numFmtId="9" fontId="4" fillId="0" borderId="6" applyAlignment="1" applyProtection="1" pivotButton="0" quotePrefix="0" xfId="0">
      <alignment horizontal="center" vertical="center" readingOrder="1"/>
      <protection locked="0" hidden="0"/>
    </xf>
    <xf numFmtId="0" fontId="4" fillId="0" borderId="8" applyAlignment="1" applyProtection="1" pivotButton="0" quotePrefix="0" xfId="0">
      <alignment horizontal="center" vertical="center" readingOrder="1"/>
      <protection locked="0" hidden="0"/>
    </xf>
    <xf numFmtId="0" fontId="4" fillId="2" borderId="7" applyAlignment="1" pivotButton="0" quotePrefix="0" xfId="0">
      <alignment horizontal="center" vertical="center"/>
    </xf>
    <xf numFmtId="0" fontId="5" fillId="0" borderId="6" applyAlignment="1" applyProtection="1" pivotButton="0" quotePrefix="0" xfId="0">
      <alignment horizontal="center" vertical="center" readingOrder="1"/>
      <protection locked="0" hidden="0"/>
    </xf>
    <xf numFmtId="9" fontId="5" fillId="0" borderId="6" applyAlignment="1" applyProtection="1" pivotButton="0" quotePrefix="0" xfId="2">
      <alignment horizontal="center" vertical="center" readingOrder="1"/>
      <protection locked="0" hidden="0"/>
    </xf>
    <xf numFmtId="0" fontId="5" fillId="0" borderId="6" applyAlignment="1" applyProtection="1" pivotButton="0" quotePrefix="0" xfId="0">
      <alignment horizontal="center" vertical="center" wrapText="1" readingOrder="1"/>
      <protection locked="0" hidden="0"/>
    </xf>
    <xf numFmtId="0" fontId="4" fillId="0" borderId="6" applyAlignment="1" applyProtection="1" pivotButton="0" quotePrefix="0" xfId="0">
      <alignment horizontal="center" vertical="center" wrapText="1" readingOrder="1"/>
      <protection locked="0" hidden="0"/>
    </xf>
    <xf numFmtId="0" fontId="4" fillId="0" borderId="8" applyAlignment="1" applyProtection="1" pivotButton="0" quotePrefix="0" xfId="0">
      <alignment horizontal="center" vertical="center" wrapText="1" readingOrder="1"/>
      <protection locked="0" hidden="0"/>
    </xf>
    <xf numFmtId="0" fontId="4" fillId="2" borderId="3" applyAlignment="1" pivotButton="0" quotePrefix="0" xfId="0">
      <alignment horizontal="center" vertical="center"/>
    </xf>
    <xf numFmtId="0" fontId="4" fillId="3" borderId="4" applyAlignment="1" applyProtection="1" pivotButton="0" quotePrefix="0" xfId="0">
      <alignment horizontal="center" vertical="center"/>
      <protection locked="0" hidden="0"/>
    </xf>
    <xf numFmtId="0" fontId="4" fillId="3" borderId="8" applyAlignment="1" applyProtection="1" pivotButton="0" quotePrefix="0" xfId="0">
      <alignment horizontal="center" vertical="center" readingOrder="1"/>
      <protection locked="0" hidden="0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readingOrder="1"/>
    </xf>
    <xf numFmtId="0" fontId="0" fillId="2" borderId="3" pivotButton="0" quotePrefix="0" xfId="0"/>
    <xf numFmtId="0" fontId="0" fillId="2" borderId="7" pivotButton="0" quotePrefix="0" xfId="0"/>
    <xf numFmtId="0" fontId="0" fillId="2" borderId="5" pivotButton="0" quotePrefix="0" xfId="0"/>
    <xf numFmtId="0" fontId="0" fillId="0" borderId="5" applyProtection="1" pivotButton="0" quotePrefix="0" xfId="0">
      <protection locked="0" hidden="0"/>
    </xf>
    <xf numFmtId="164" fontId="0" fillId="2" borderId="5" applyAlignment="1" pivotButton="0" quotePrefix="0" xfId="1">
      <alignment readingOrder="1"/>
    </xf>
    <xf numFmtId="0" fontId="7" fillId="2" borderId="5" pivotButton="0" quotePrefix="0" xfId="0"/>
    <xf numFmtId="0" fontId="7" fillId="2" borderId="6" applyAlignment="1" pivotButton="0" quotePrefix="0" xfId="0">
      <alignment readingOrder="1"/>
    </xf>
    <xf numFmtId="0" fontId="4" fillId="0" borderId="6" applyAlignment="1" applyProtection="1" pivotButton="0" quotePrefix="0" xfId="0">
      <alignment horizontal="center" vertical="center" readingOrder="2"/>
      <protection locked="0" hidden="0"/>
    </xf>
    <xf numFmtId="0" fontId="8" fillId="0" borderId="13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9" fillId="0" borderId="15" applyAlignment="1" pivotButton="0" quotePrefix="0" xfId="0">
      <alignment horizontal="center" vertical="center"/>
    </xf>
    <xf numFmtId="0" fontId="9" fillId="0" borderId="15" applyAlignment="1" pivotButton="0" quotePrefix="0" xfId="0">
      <alignment horizontal="right" vertical="center"/>
    </xf>
    <xf numFmtId="0" fontId="10" fillId="0" borderId="13" applyAlignment="1" pivotButton="0" quotePrefix="0" xfId="0">
      <alignment horizontal="right" vertical="center"/>
    </xf>
    <xf numFmtId="0" fontId="10" fillId="0" borderId="15" applyAlignment="1" pivotButton="0" quotePrefix="0" xfId="0">
      <alignment horizontal="right" vertical="center"/>
    </xf>
    <xf numFmtId="3" fontId="10" fillId="0" borderId="15" applyAlignment="1" pivotButton="0" quotePrefix="0" xfId="0">
      <alignment horizontal="right" vertical="center"/>
    </xf>
    <xf numFmtId="0" fontId="11" fillId="0" borderId="15" applyAlignment="1" pivotButton="0" quotePrefix="0" xfId="0">
      <alignment vertical="center"/>
    </xf>
    <xf numFmtId="0" fontId="4" fillId="0" borderId="11" applyAlignment="1" pivotButton="0" quotePrefix="0" xfId="0">
      <alignment horizontal="right" vertical="center"/>
    </xf>
    <xf numFmtId="3" fontId="8" fillId="0" borderId="13" applyAlignment="1" pivotButton="0" quotePrefix="0" xfId="0">
      <alignment horizontal="right" vertical="center"/>
    </xf>
    <xf numFmtId="3" fontId="8" fillId="0" borderId="16" applyAlignment="1" pivotButton="0" quotePrefix="0" xfId="0">
      <alignment horizontal="right" vertical="center"/>
    </xf>
    <xf numFmtId="0" fontId="8" fillId="0" borderId="16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3" fontId="10" fillId="0" borderId="13" applyAlignment="1" pivotButton="0" quotePrefix="0" xfId="0">
      <alignment horizontal="center" vertical="center"/>
    </xf>
    <xf numFmtId="3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0" fontId="8" fillId="0" borderId="13" applyAlignment="1" pivotButton="0" quotePrefix="0" xfId="0">
      <alignment horizontal="right" vertical="center" readingOrder="2"/>
    </xf>
    <xf numFmtId="0" fontId="4" fillId="0" borderId="16" applyAlignment="1" pivotButton="0" quotePrefix="0" xfId="0">
      <alignment horizontal="right" vertical="center" readingOrder="2"/>
    </xf>
    <xf numFmtId="3" fontId="4" fillId="0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readingOrder="2"/>
    </xf>
    <xf numFmtId="0" fontId="6" fillId="0" borderId="2" applyAlignment="1" pivotButton="0" quotePrefix="0" xfId="0">
      <alignment horizontal="right" vertical="center" readingOrder="2"/>
    </xf>
    <xf numFmtId="0" fontId="9" fillId="0" borderId="12" applyAlignment="1" pivotButton="0" quotePrefix="0" xfId="0">
      <alignment horizontal="right" vertical="center"/>
    </xf>
    <xf numFmtId="0" fontId="9" fillId="0" borderId="13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0" fillId="2" borderId="6" applyAlignment="1" pivotButton="0" quotePrefix="0" xfId="0">
      <alignment horizontal="center" vertical="center" readingOrder="1"/>
    </xf>
    <xf numFmtId="164" fontId="0" fillId="0" borderId="6" applyAlignment="1" applyProtection="1" pivotButton="0" quotePrefix="0" xfId="1">
      <alignment horizontal="center" vertical="center" readingOrder="1"/>
      <protection locked="0" hidden="0"/>
    </xf>
    <xf numFmtId="1" fontId="4" fillId="0" borderId="0" applyAlignment="1" pivotButton="0" quotePrefix="0" xfId="0">
      <alignment horizontal="center" vertical="center"/>
    </xf>
    <xf numFmtId="0" fontId="0" fillId="0" borderId="6" applyAlignment="1" applyProtection="1" pivotButton="0" quotePrefix="0" xfId="0">
      <alignment horizontal="center" vertical="center" readingOrder="1"/>
      <protection locked="0" hidden="0"/>
    </xf>
    <xf numFmtId="0" fontId="0" fillId="3" borderId="4" applyAlignment="1" applyProtection="1" pivotButton="0" quotePrefix="0" xfId="0">
      <alignment horizontal="center" vertical="center"/>
      <protection locked="0" hidden="0"/>
    </xf>
    <xf numFmtId="0" fontId="0" fillId="3" borderId="8" applyAlignment="1" applyProtection="1" pivotButton="0" quotePrefix="0" xfId="0">
      <alignment horizontal="center" vertical="center" readingOrder="1"/>
      <protection locked="0" hidden="0"/>
    </xf>
    <xf numFmtId="0" fontId="1" fillId="0" borderId="6" applyAlignment="1" applyProtection="1" pivotButton="0" quotePrefix="0" xfId="0">
      <alignment horizontal="center" vertical="center" readingOrder="1"/>
      <protection locked="0" hidden="0"/>
    </xf>
    <xf numFmtId="9" fontId="1" fillId="0" borderId="6" applyAlignment="1" applyProtection="1" pivotButton="0" quotePrefix="0" xfId="2">
      <alignment horizontal="center" vertical="center" readingOrder="1"/>
      <protection locked="0" hidden="0"/>
    </xf>
    <xf numFmtId="0" fontId="1" fillId="0" borderId="6" applyAlignment="1" applyProtection="1" pivotButton="0" quotePrefix="0" xfId="0">
      <alignment horizontal="center" vertical="center" wrapText="1" readingOrder="1"/>
      <protection locked="0" hidden="0"/>
    </xf>
    <xf numFmtId="0" fontId="0" fillId="0" borderId="6" applyAlignment="1" applyProtection="1" pivotButton="0" quotePrefix="0" xfId="0">
      <alignment horizontal="center" vertical="center" wrapText="1" readingOrder="1"/>
      <protection locked="0" hidden="0"/>
    </xf>
    <xf numFmtId="0" fontId="0" fillId="0" borderId="8" applyAlignment="1" applyProtection="1" pivotButton="0" quotePrefix="0" xfId="0">
      <alignment horizontal="center" vertical="center" wrapText="1" readingOrder="1"/>
      <protection locked="0" hidden="0"/>
    </xf>
    <xf numFmtId="9" fontId="0" fillId="0" borderId="6" applyAlignment="1" applyProtection="1" pivotButton="0" quotePrefix="0" xfId="0">
      <alignment horizontal="center" vertical="center" readingOrder="1"/>
      <protection locked="0" hidden="0"/>
    </xf>
    <xf numFmtId="0" fontId="0" fillId="0" borderId="8" applyAlignment="1" applyProtection="1" pivotButton="0" quotePrefix="0" xfId="0">
      <alignment horizontal="center" vertical="center" readingOrder="1"/>
      <protection locked="0" hidden="0"/>
    </xf>
    <xf numFmtId="3" fontId="6" fillId="0" borderId="13" applyAlignment="1" pivotButton="0" quotePrefix="0" xfId="0">
      <alignment horizontal="right" vertical="center"/>
    </xf>
    <xf numFmtId="3" fontId="4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3" fontId="12" fillId="0" borderId="13" applyAlignment="1" pivotButton="0" quotePrefix="0" xfId="0">
      <alignment horizontal="right" vertical="center"/>
    </xf>
    <xf numFmtId="3" fontId="8" fillId="0" borderId="13" applyAlignment="1" pivotButton="0" quotePrefix="0" xfId="0">
      <alignment horizontal="right" vertical="center" readingOrder="2"/>
    </xf>
    <xf numFmtId="3" fontId="12" fillId="0" borderId="13" applyAlignment="1" pivotButton="0" quotePrefix="0" xfId="0">
      <alignment horizontal="right" vertical="center" readingOrder="2"/>
    </xf>
    <xf numFmtId="3" fontId="0" fillId="0" borderId="18" applyAlignment="1" pivotButton="0" quotePrefix="0" xfId="0">
      <alignment horizontal="center" vertical="center"/>
    </xf>
    <xf numFmtId="3" fontId="0" fillId="0" borderId="1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readingOrder="1"/>
    </xf>
    <xf numFmtId="0" fontId="9" fillId="0" borderId="11" applyAlignment="1" pivotButton="0" quotePrefix="0" xfId="0">
      <alignment horizontal="right" vertical="center"/>
    </xf>
    <xf numFmtId="0" fontId="0" fillId="0" borderId="21" pivotButton="0" quotePrefix="0" xfId="0"/>
    <xf numFmtId="0" fontId="0" fillId="0" borderId="13" pivotButton="0" quotePrefix="0" xfId="0"/>
    <xf numFmtId="164" fontId="4" fillId="0" borderId="6" applyAlignment="1" applyProtection="1" pivotButton="0" quotePrefix="0" xfId="1">
      <alignment horizontal="center" vertical="center" readingOrder="1"/>
      <protection locked="0" hidden="0"/>
    </xf>
    <xf numFmtId="164" fontId="4" fillId="0" borderId="8" applyAlignment="1" applyProtection="1" pivotButton="0" quotePrefix="0" xfId="1">
      <alignment horizontal="center" vertical="center" readingOrder="1"/>
      <protection locked="0" hidden="0"/>
    </xf>
    <xf numFmtId="0" fontId="0" fillId="0" borderId="2" pivotButton="0" quotePrefix="0" xfId="0"/>
    <xf numFmtId="0" fontId="6" fillId="0" borderId="11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 readingOrder="2"/>
    </xf>
    <xf numFmtId="0" fontId="7" fillId="2" borderId="23" applyAlignment="1" pivotButton="0" quotePrefix="0" xfId="0">
      <alignment horizontal="center"/>
    </xf>
    <xf numFmtId="0" fontId="0" fillId="0" borderId="10" pivotButton="0" quotePrefix="0" xfId="0"/>
    <xf numFmtId="164" fontId="0" fillId="0" borderId="6" applyAlignment="1" applyProtection="1" pivotButton="0" quotePrefix="0" xfId="1">
      <alignment horizontal="center" vertical="center" readingOrder="1"/>
      <protection locked="0" hidden="0"/>
    </xf>
    <xf numFmtId="164" fontId="0" fillId="2" borderId="5" applyAlignment="1" pivotButton="0" quotePrefix="0" xfId="1">
      <alignment readingOrder="1"/>
    </xf>
    <xf numFmtId="0" fontId="0" fillId="0" borderId="26" pivotButton="0" quotePrefix="0" xfId="0"/>
    <xf numFmtId="0" fontId="0" fillId="0" borderId="15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G226"/>
  <sheetViews>
    <sheetView rightToLeft="1" tabSelected="1" zoomScale="55" zoomScaleNormal="55" workbookViewId="0">
      <selection activeCell="K31" sqref="K31"/>
    </sheetView>
  </sheetViews>
  <sheetFormatPr baseColWidth="8" defaultColWidth="9.125" defaultRowHeight="22.5"/>
  <cols>
    <col width="5.125" customWidth="1" style="7" min="1" max="2"/>
    <col width="45.875" bestFit="1" customWidth="1" style="7" min="3" max="3"/>
    <col width="52.625" customWidth="1" style="6" min="4" max="4"/>
    <col width="7.375" customWidth="1" style="7" min="5" max="5"/>
    <col width="9.125" customWidth="1" style="7" min="6" max="20"/>
    <col width="7.125" customWidth="1" style="7" min="21" max="21"/>
    <col width="17.625" customWidth="1" style="7" min="22" max="22"/>
    <col width="25.5" bestFit="1" customWidth="1" style="7" min="23" max="23"/>
    <col width="19.5" bestFit="1" customWidth="1" style="7" min="24" max="24"/>
    <col width="26.75" bestFit="1" customWidth="1" style="7" min="25" max="25"/>
    <col width="19.5" customWidth="1" style="7" min="26" max="26"/>
    <col width="9.125" customWidth="1" style="7" min="27" max="27"/>
    <col width="20.125" customWidth="1" style="7" min="28" max="28"/>
    <col width="24.125" customWidth="1" style="7" min="29" max="29"/>
    <col width="19.75" customWidth="1" style="7" min="30" max="30"/>
    <col width="26.75" bestFit="1" customWidth="1" style="7" min="31" max="31"/>
    <col width="18.625" customWidth="1" style="7" min="32" max="32"/>
    <col width="19.75" customWidth="1" style="7" min="33" max="33"/>
    <col width="9.125" customWidth="1" style="7" min="34" max="16384"/>
  </cols>
  <sheetData>
    <row r="1" ht="23.25" customHeight="1" s="1" thickBot="1"/>
    <row r="2">
      <c r="C2" s="27" t="inlineStr">
        <is>
          <t>عنوان پروژه</t>
        </is>
      </c>
      <c r="D2" s="28" t="inlineStr">
        <is>
          <t>پروژه 400 هزارتنی کاتد مکران</t>
        </is>
      </c>
    </row>
    <row r="3" ht="23.25" customHeight="1" s="1" thickBot="1">
      <c r="C3" s="21" t="inlineStr">
        <is>
          <t>عنوان فرعی پروژه</t>
        </is>
      </c>
      <c r="D3" s="29" t="inlineStr">
        <is>
          <t>کارخانه ذوب و اسید فسفریک چابهار</t>
        </is>
      </c>
    </row>
    <row r="4" ht="25.5" customHeight="1" s="1" thickBot="1">
      <c r="U4" s="102" t="inlineStr">
        <is>
          <t xml:space="preserve">دوره </t>
        </is>
      </c>
      <c r="V4" s="42" t="inlineStr">
        <is>
          <t>تولید فسفریک</t>
        </is>
      </c>
      <c r="W4" s="42" t="inlineStr">
        <is>
          <t>هزینه عملیاتی</t>
        </is>
      </c>
      <c r="X4" s="42" t="inlineStr">
        <is>
          <t>هزینه سرمایه گذاری</t>
        </is>
      </c>
      <c r="Y4" s="42" t="inlineStr">
        <is>
          <t>درآمد عملیاتی</t>
        </is>
      </c>
      <c r="Z4" s="102" t="inlineStr">
        <is>
          <t>جریان های نقدی بعد از مالیات (یورو)</t>
        </is>
      </c>
      <c r="AB4" s="49" t="inlineStr">
        <is>
          <t>جریان نقدی خالص پس از کسر مالیات</t>
        </is>
      </c>
      <c r="AC4" s="72" t="inlineStr">
        <is>
          <t>جریان نقد آزاد</t>
        </is>
      </c>
      <c r="AD4" s="72" t="inlineStr">
        <is>
          <t>هزینه های عملیاتی</t>
        </is>
      </c>
      <c r="AE4" s="72" t="inlineStr">
        <is>
          <t>درآمدهای عملیاتی</t>
        </is>
      </c>
      <c r="AF4" s="72" t="inlineStr">
        <is>
          <t>هزینه های سرمایه‌گذاری</t>
        </is>
      </c>
      <c r="AG4" s="49" t="inlineStr">
        <is>
          <t xml:space="preserve">دوره </t>
        </is>
      </c>
    </row>
    <row r="5" ht="25.5" customHeight="1" s="1" thickBot="1">
      <c r="C5" s="76" t="inlineStr">
        <is>
          <t>خلاصه پروژه</t>
        </is>
      </c>
      <c r="D5" s="103" t="n"/>
      <c r="U5" s="104" t="n"/>
      <c r="V5" s="43" t="inlineStr">
        <is>
          <t>(تن)</t>
        </is>
      </c>
      <c r="W5" s="44" t="inlineStr">
        <is>
          <t>(یورو)</t>
        </is>
      </c>
      <c r="X5" s="44" t="inlineStr">
        <is>
          <t>(یورو)</t>
        </is>
      </c>
      <c r="Y5" s="44" t="inlineStr">
        <is>
          <t>(یورو)</t>
        </is>
      </c>
      <c r="Z5" s="104" t="n"/>
      <c r="AB5" s="50" t="n">
        <v>-746033277</v>
      </c>
      <c r="AC5" s="51" t="n">
        <v>-746033277</v>
      </c>
      <c r="AD5" s="52" t="n">
        <v>0</v>
      </c>
      <c r="AE5" s="52" t="n">
        <v>0</v>
      </c>
      <c r="AF5" s="51" t="n">
        <v>746033277</v>
      </c>
      <c r="AG5" s="41" t="n">
        <v>0</v>
      </c>
    </row>
    <row r="6" ht="23.25" customHeight="1" s="1" thickBot="1">
      <c r="C6" s="14" t="inlineStr">
        <is>
          <t>صنعت</t>
        </is>
      </c>
      <c r="D6" s="22" t="inlineStr">
        <is>
          <t>مس و فلزات غیر آهنی</t>
        </is>
      </c>
      <c r="U6" s="45" t="n">
        <v>0</v>
      </c>
      <c r="V6" s="46" t="n">
        <v>0</v>
      </c>
      <c r="W6" s="46" t="n">
        <v>0</v>
      </c>
      <c r="X6" s="47" t="n">
        <v>610250945</v>
      </c>
      <c r="Y6" s="46" t="n">
        <v>0</v>
      </c>
      <c r="Z6" s="47" t="n">
        <v>-610167520</v>
      </c>
      <c r="AB6" s="50" t="n">
        <v>-447619966</v>
      </c>
      <c r="AC6" s="51" t="n">
        <v>-447619966</v>
      </c>
      <c r="AD6" s="52" t="n">
        <v>0</v>
      </c>
      <c r="AE6" s="52" t="n">
        <v>0</v>
      </c>
      <c r="AF6" s="51" t="n">
        <v>447619966</v>
      </c>
      <c r="AG6" s="41" t="n">
        <v>1</v>
      </c>
    </row>
    <row r="7" ht="23.25" customHeight="1" s="1" thickBot="1">
      <c r="C7" s="14" t="inlineStr">
        <is>
          <t>زیرصنعت</t>
        </is>
      </c>
      <c r="D7" s="22" t="inlineStr">
        <is>
          <t>زنجیره پایین دست صنعت مس</t>
        </is>
      </c>
      <c r="U7" s="45" t="n">
        <v>1</v>
      </c>
      <c r="V7" s="47" t="n">
        <v>726700</v>
      </c>
      <c r="W7" s="47" t="n">
        <v>566826000</v>
      </c>
      <c r="X7" s="48" t="n"/>
      <c r="Y7" s="47" t="n">
        <v>799370000</v>
      </c>
      <c r="Z7" s="47" t="n">
        <v>232544000</v>
      </c>
      <c r="AB7" s="50" t="n">
        <v>-298413311</v>
      </c>
      <c r="AC7" s="51" t="n">
        <v>-298413311</v>
      </c>
      <c r="AD7" s="52" t="n">
        <v>0</v>
      </c>
      <c r="AE7" s="52" t="n">
        <v>0</v>
      </c>
      <c r="AF7" s="51" t="n">
        <v>298413311</v>
      </c>
      <c r="AG7" s="41" t="n">
        <v>2</v>
      </c>
    </row>
    <row r="8" ht="23.25" customHeight="1" s="1" thickBot="1">
      <c r="C8" s="14" t="inlineStr">
        <is>
          <t>مکان</t>
        </is>
      </c>
      <c r="D8" s="22" t="inlineStr">
        <is>
          <t>منطقه آزاد چابهار</t>
        </is>
      </c>
      <c r="U8" s="45" t="n">
        <v>2</v>
      </c>
      <c r="V8" s="47" t="n">
        <v>894400</v>
      </c>
      <c r="W8" s="47" t="n">
        <v>697632000</v>
      </c>
      <c r="X8" s="48" t="n"/>
      <c r="Y8" s="47" t="n">
        <v>983840000</v>
      </c>
      <c r="Z8" s="47" t="n">
        <v>286208000</v>
      </c>
      <c r="AB8" s="50" t="n">
        <v>139072884</v>
      </c>
      <c r="AC8" s="51" t="n">
        <v>139072884</v>
      </c>
      <c r="AD8" s="51" t="n">
        <v>2410227116</v>
      </c>
      <c r="AE8" s="51" t="n">
        <v>2549300000</v>
      </c>
      <c r="AF8" s="52" t="n">
        <v>0</v>
      </c>
      <c r="AG8" s="41" t="n">
        <v>3</v>
      </c>
    </row>
    <row r="9" ht="23.25" customHeight="1" s="1" thickBot="1">
      <c r="C9" s="14" t="inlineStr">
        <is>
          <t>درصد پیشرفت پروژه</t>
        </is>
      </c>
      <c r="D9" s="23" t="n">
        <v>0</v>
      </c>
      <c r="U9" s="45" t="n">
        <v>3</v>
      </c>
      <c r="V9" s="47" t="n">
        <v>1118000</v>
      </c>
      <c r="W9" s="47" t="n">
        <v>872040000</v>
      </c>
      <c r="X9" s="48" t="n"/>
      <c r="Y9" s="47" t="n">
        <v>1229800000</v>
      </c>
      <c r="Z9" s="47" t="n">
        <v>357760000</v>
      </c>
      <c r="AB9" s="50" t="n">
        <v>171166626</v>
      </c>
      <c r="AC9" s="51" t="n">
        <v>171166626</v>
      </c>
      <c r="AD9" s="51" t="n">
        <v>2966433374</v>
      </c>
      <c r="AE9" s="51" t="n">
        <v>3137600000</v>
      </c>
      <c r="AF9" s="52" t="n">
        <v>0</v>
      </c>
      <c r="AG9" s="41" t="n">
        <v>4</v>
      </c>
    </row>
    <row r="10" ht="23.25" customHeight="1" s="1" thickBot="1">
      <c r="C10" s="14" t="inlineStr">
        <is>
          <t>شرح پروژه</t>
        </is>
      </c>
      <c r="D10" s="24" t="inlineStr">
        <is>
          <t>تعریف طرح با هدف نیل به تولید سالیانه 1,000,000 تن کاتد مس و 570,000 تن اسید فسفریک در منطقه آزاد چابهار</t>
        </is>
      </c>
      <c r="U10" s="45" t="n">
        <v>4</v>
      </c>
      <c r="V10" s="47" t="n">
        <v>1118000</v>
      </c>
      <c r="W10" s="47" t="n">
        <v>872040000</v>
      </c>
      <c r="X10" s="48" t="n"/>
      <c r="Y10" s="47" t="n">
        <v>1229800000</v>
      </c>
      <c r="Z10" s="47" t="n">
        <v>357760000</v>
      </c>
      <c r="AB10" s="50" t="n">
        <v>192562455</v>
      </c>
      <c r="AC10" s="51" t="n">
        <v>192562455</v>
      </c>
      <c r="AD10" s="51" t="n">
        <v>3337237545</v>
      </c>
      <c r="AE10" s="51" t="n">
        <v>3529800000</v>
      </c>
      <c r="AF10" s="52" t="n">
        <v>0</v>
      </c>
      <c r="AG10" s="41" t="n">
        <v>5</v>
      </c>
    </row>
    <row r="11" ht="23.25" customHeight="1" s="1" thickBot="1">
      <c r="C11" s="14" t="inlineStr">
        <is>
          <t>وضعیت اجرای پروژه</t>
        </is>
      </c>
      <c r="D11" s="25" t="inlineStr">
        <is>
          <t>متوقف</t>
        </is>
      </c>
      <c r="U11" s="45" t="n">
        <v>5</v>
      </c>
      <c r="V11" s="47" t="n">
        <v>1118000</v>
      </c>
      <c r="W11" s="47" t="n">
        <v>872040000</v>
      </c>
      <c r="X11" s="48" t="n"/>
      <c r="Y11" s="47" t="n">
        <v>1229800000</v>
      </c>
      <c r="Z11" s="47" t="n">
        <v>357760000</v>
      </c>
      <c r="AB11" s="50" t="n">
        <v>213958283</v>
      </c>
      <c r="AC11" s="51" t="n">
        <v>213958283</v>
      </c>
      <c r="AD11" s="51" t="n">
        <v>3708041717</v>
      </c>
      <c r="AE11" s="51" t="n">
        <v>3922000000</v>
      </c>
      <c r="AF11" s="52" t="n">
        <v>0</v>
      </c>
      <c r="AG11" s="41" t="n">
        <v>6</v>
      </c>
    </row>
    <row r="12" ht="23.25" customHeight="1" s="1" thickBot="1">
      <c r="C12" s="14" t="inlineStr">
        <is>
          <t>وضعیت تامین مالی</t>
        </is>
      </c>
      <c r="D12" s="25" t="inlineStr">
        <is>
          <t>اقدامی انجام نشده است</t>
        </is>
      </c>
      <c r="U12" s="45" t="n">
        <v>6</v>
      </c>
      <c r="V12" s="47" t="n">
        <v>1118000</v>
      </c>
      <c r="W12" s="47" t="n">
        <v>872040000</v>
      </c>
      <c r="X12" s="48" t="n"/>
      <c r="Y12" s="47" t="n">
        <v>1229800000</v>
      </c>
      <c r="Z12" s="47" t="n">
        <v>357760000</v>
      </c>
      <c r="AB12" s="50" t="n">
        <v>213958283</v>
      </c>
      <c r="AC12" s="51" t="n">
        <v>213958283</v>
      </c>
      <c r="AD12" s="51" t="n">
        <v>3708041717</v>
      </c>
      <c r="AE12" s="51" t="n">
        <v>3922000000</v>
      </c>
      <c r="AF12" s="52" t="n">
        <v>0</v>
      </c>
      <c r="AG12" s="41" t="n">
        <v>7</v>
      </c>
    </row>
    <row r="13" ht="23.25" customHeight="1" s="1" thickBot="1">
      <c r="C13" s="21" t="inlineStr">
        <is>
          <t>ریسک های اصلی</t>
        </is>
      </c>
      <c r="D13" s="26" t="inlineStr">
        <is>
          <t>محدودیت تامین مالی و ماده اولیه</t>
        </is>
      </c>
      <c r="U13" s="45" t="n">
        <v>7</v>
      </c>
      <c r="V13" s="47" t="n">
        <v>1118000</v>
      </c>
      <c r="W13" s="47" t="n">
        <v>872040000</v>
      </c>
      <c r="X13" s="48" t="n"/>
      <c r="Y13" s="47" t="n">
        <v>1229800000</v>
      </c>
      <c r="Z13" s="47" t="n">
        <v>357760000</v>
      </c>
      <c r="AB13" s="50" t="n">
        <v>213958283</v>
      </c>
      <c r="AC13" s="51" t="n">
        <v>213958283</v>
      </c>
      <c r="AD13" s="51" t="n">
        <v>3708041717</v>
      </c>
      <c r="AE13" s="51" t="n">
        <v>3922000000</v>
      </c>
      <c r="AF13" s="52" t="n">
        <v>0</v>
      </c>
      <c r="AG13" s="41" t="n">
        <v>8</v>
      </c>
    </row>
    <row r="14" ht="23.25" customHeight="1" s="1" thickBot="1">
      <c r="U14" s="45" t="n">
        <v>8</v>
      </c>
      <c r="V14" s="47" t="n">
        <v>1118000</v>
      </c>
      <c r="W14" s="47" t="n">
        <v>872040000</v>
      </c>
      <c r="X14" s="48" t="n"/>
      <c r="Y14" s="47" t="n">
        <v>1229800000</v>
      </c>
      <c r="Z14" s="47" t="n">
        <v>357760000</v>
      </c>
      <c r="AB14" s="50" t="n">
        <v>213958283</v>
      </c>
      <c r="AC14" s="51" t="n">
        <v>213958283</v>
      </c>
      <c r="AD14" s="51" t="n">
        <v>3708041717</v>
      </c>
      <c r="AE14" s="51" t="n">
        <v>3922000000</v>
      </c>
      <c r="AF14" s="52" t="n">
        <v>0</v>
      </c>
      <c r="AG14" s="41" t="n">
        <v>9</v>
      </c>
    </row>
    <row r="15" ht="24.75" customHeight="1" s="1" thickBot="1">
      <c r="C15" s="76" t="inlineStr">
        <is>
          <t>هزینه های سرمایه گذاری</t>
        </is>
      </c>
      <c r="D15" s="103" t="n"/>
      <c r="U15" s="45" t="n">
        <v>9</v>
      </c>
      <c r="V15" s="47" t="n">
        <v>1118000</v>
      </c>
      <c r="W15" s="47" t="n">
        <v>872040000</v>
      </c>
      <c r="X15" s="48" t="n"/>
      <c r="Y15" s="47" t="n">
        <v>1229800000</v>
      </c>
      <c r="Z15" s="47" t="n">
        <v>357760000</v>
      </c>
      <c r="AB15" s="50" t="n">
        <v>213958283</v>
      </c>
      <c r="AC15" s="51" t="n">
        <v>213958283</v>
      </c>
      <c r="AD15" s="51" t="n">
        <v>3708041717</v>
      </c>
      <c r="AE15" s="51" t="n">
        <v>3922000000</v>
      </c>
      <c r="AF15" s="52" t="n">
        <v>0</v>
      </c>
      <c r="AG15" s="41" t="n">
        <v>10</v>
      </c>
    </row>
    <row r="16" ht="24.75" customHeight="1" s="1" thickBot="1">
      <c r="C16" s="30" t="inlineStr">
        <is>
          <t>عنوان</t>
        </is>
      </c>
      <c r="D16" s="31" t="inlineStr">
        <is>
          <t>مبلغ (میلیون یورو)</t>
        </is>
      </c>
      <c r="U16" s="45" t="n">
        <v>10</v>
      </c>
      <c r="V16" s="47" t="n">
        <v>1118000</v>
      </c>
      <c r="W16" s="47" t="n">
        <v>872040000</v>
      </c>
      <c r="X16" s="48" t="n"/>
      <c r="Y16" s="47" t="n">
        <v>1229800000</v>
      </c>
      <c r="Z16" s="47" t="n">
        <v>357760000</v>
      </c>
      <c r="AB16" s="50" t="n">
        <v>213958283</v>
      </c>
      <c r="AC16" s="51" t="n">
        <v>213958283</v>
      </c>
      <c r="AD16" s="51" t="n">
        <v>3708041717</v>
      </c>
      <c r="AE16" s="51" t="n">
        <v>3922000000</v>
      </c>
      <c r="AF16" s="52" t="n">
        <v>0</v>
      </c>
      <c r="AG16" s="41" t="n">
        <v>11</v>
      </c>
    </row>
    <row r="17" ht="23.25" customHeight="1" s="1" thickBot="1">
      <c r="C17" s="14" t="inlineStr">
        <is>
          <t>مجموع سرمایه گذاری</t>
        </is>
      </c>
      <c r="D17" s="105" t="n">
        <v>2050</v>
      </c>
      <c r="U17" s="45" t="n">
        <v>11</v>
      </c>
      <c r="V17" s="47" t="n">
        <v>1118000</v>
      </c>
      <c r="W17" s="47" t="n">
        <v>872040000</v>
      </c>
      <c r="X17" s="48" t="n"/>
      <c r="Y17" s="47" t="n">
        <v>1229800000</v>
      </c>
      <c r="Z17" s="47" t="n">
        <v>357760000</v>
      </c>
      <c r="AB17" s="50" t="n">
        <v>213958283</v>
      </c>
      <c r="AC17" s="51" t="n">
        <v>213958283</v>
      </c>
      <c r="AD17" s="51" t="n">
        <v>3708041717</v>
      </c>
      <c r="AE17" s="51" t="n">
        <v>3922000000</v>
      </c>
      <c r="AF17" s="52" t="n">
        <v>0</v>
      </c>
      <c r="AG17" s="41" t="n">
        <v>12</v>
      </c>
    </row>
    <row r="18" ht="23.25" customHeight="1" s="1" thickBot="1">
      <c r="C18" s="14" t="inlineStr">
        <is>
          <t>مهندسی و دانش فنی</t>
        </is>
      </c>
      <c r="D18" s="105" t="n">
        <v>164</v>
      </c>
      <c r="U18" s="45" t="n">
        <v>12</v>
      </c>
      <c r="V18" s="47" t="n">
        <v>1118000</v>
      </c>
      <c r="W18" s="47" t="n">
        <v>872040000</v>
      </c>
      <c r="X18" s="48" t="n"/>
      <c r="Y18" s="47" t="n">
        <v>1229800000</v>
      </c>
      <c r="Z18" s="47" t="n">
        <v>357760000</v>
      </c>
      <c r="AB18" s="50" t="n">
        <v>213958283</v>
      </c>
      <c r="AC18" s="51" t="n">
        <v>213958283</v>
      </c>
      <c r="AD18" s="51" t="n">
        <v>3708041717</v>
      </c>
      <c r="AE18" s="51" t="n">
        <v>3922000000</v>
      </c>
      <c r="AF18" s="52" t="n">
        <v>0</v>
      </c>
      <c r="AG18" s="41" t="n">
        <v>13</v>
      </c>
    </row>
    <row r="19" ht="23.25" customHeight="1" s="1" thickBot="1">
      <c r="C19" s="14" t="inlineStr">
        <is>
          <t>ماشین آلات و تجهیزات</t>
        </is>
      </c>
      <c r="D19" s="105" t="n">
        <v>1435</v>
      </c>
      <c r="U19" s="45" t="n">
        <v>13</v>
      </c>
      <c r="V19" s="47" t="n">
        <v>1118000</v>
      </c>
      <c r="W19" s="47" t="n">
        <v>872040000</v>
      </c>
      <c r="X19" s="48" t="n"/>
      <c r="Y19" s="47" t="n">
        <v>1229800000</v>
      </c>
      <c r="Z19" s="47" t="n">
        <v>357760000</v>
      </c>
      <c r="AB19" s="50" t="n">
        <v>213958283</v>
      </c>
      <c r="AC19" s="51" t="n">
        <v>213958283</v>
      </c>
      <c r="AD19" s="51" t="n">
        <v>3708041717</v>
      </c>
      <c r="AE19" s="51" t="n">
        <v>3922000000</v>
      </c>
      <c r="AF19" s="52" t="n">
        <v>0</v>
      </c>
      <c r="AG19" s="41" t="n">
        <v>14</v>
      </c>
    </row>
    <row r="20" ht="23.25" customHeight="1" s="1" thickBot="1">
      <c r="C20" s="14" t="inlineStr">
        <is>
          <t>ساخت و راه اندازی</t>
        </is>
      </c>
      <c r="D20" s="105" t="n">
        <v>142</v>
      </c>
      <c r="U20" s="45" t="n">
        <v>14</v>
      </c>
      <c r="V20" s="47" t="n">
        <v>1118000</v>
      </c>
      <c r="W20" s="47" t="n">
        <v>872040000</v>
      </c>
      <c r="X20" s="48" t="n"/>
      <c r="Y20" s="47" t="n">
        <v>1229800000</v>
      </c>
      <c r="Z20" s="47" t="n">
        <v>357760000</v>
      </c>
      <c r="AB20" s="50" t="n">
        <v>213958283</v>
      </c>
      <c r="AC20" s="51" t="n">
        <v>213958283</v>
      </c>
      <c r="AD20" s="51" t="n">
        <v>3708041717</v>
      </c>
      <c r="AE20" s="51" t="n">
        <v>3922000000</v>
      </c>
      <c r="AF20" s="52" t="n">
        <v>0</v>
      </c>
      <c r="AG20" s="41" t="n">
        <v>15</v>
      </c>
    </row>
    <row r="21" ht="23.25" customHeight="1" s="1" thickBot="1">
      <c r="C21" s="14" t="inlineStr">
        <is>
          <t>یوتیلیتی (هزینه ایجاد تاسیسات زیرساختی پشتیبانی تولید)</t>
        </is>
      </c>
      <c r="D21" s="105" t="n">
        <v>155</v>
      </c>
      <c r="U21" s="45" t="n">
        <v>15</v>
      </c>
      <c r="V21" s="47" t="n">
        <v>1118000</v>
      </c>
      <c r="W21" s="47" t="n">
        <v>872040000</v>
      </c>
      <c r="X21" s="48" t="n"/>
      <c r="Y21" s="47" t="n">
        <v>1229800000</v>
      </c>
      <c r="Z21" s="47" t="n">
        <v>357760000</v>
      </c>
      <c r="AB21" s="50" t="n">
        <v>213958283</v>
      </c>
      <c r="AC21" s="51" t="n">
        <v>213958283</v>
      </c>
      <c r="AD21" s="51" t="n">
        <v>3708041717</v>
      </c>
      <c r="AE21" s="51" t="n">
        <v>3922000000</v>
      </c>
      <c r="AF21" s="52" t="n">
        <v>0</v>
      </c>
      <c r="AG21" s="41" t="n">
        <v>16</v>
      </c>
    </row>
    <row r="22" ht="23.25" customHeight="1" s="1" thickBot="1">
      <c r="C22" s="14" t="inlineStr">
        <is>
          <t>هزینه های پیش از راه اندازی</t>
        </is>
      </c>
      <c r="D22" s="105" t="n">
        <v>100</v>
      </c>
      <c r="U22" s="45" t="n">
        <v>16</v>
      </c>
      <c r="V22" s="47" t="n">
        <v>1118000</v>
      </c>
      <c r="W22" s="47" t="n">
        <v>872040000</v>
      </c>
      <c r="X22" s="48" t="n"/>
      <c r="Y22" s="47" t="n">
        <v>1229800000</v>
      </c>
      <c r="Z22" s="47" t="n">
        <v>357760000</v>
      </c>
      <c r="AB22" s="50" t="n">
        <v>213958283</v>
      </c>
      <c r="AC22" s="51" t="n">
        <v>213958283</v>
      </c>
      <c r="AD22" s="51" t="n">
        <v>3708041717</v>
      </c>
      <c r="AE22" s="51" t="n">
        <v>3922000000</v>
      </c>
      <c r="AF22" s="52" t="n">
        <v>0</v>
      </c>
      <c r="AG22" s="41" t="n">
        <v>17</v>
      </c>
    </row>
    <row r="23" ht="23.25" customHeight="1" s="1" thickBot="1">
      <c r="C23" s="14" t="inlineStr">
        <is>
          <t>هزینه های پیش بینی نشده</t>
        </is>
      </c>
      <c r="D23" s="105" t="n">
        <v>105</v>
      </c>
      <c r="U23" s="45" t="n">
        <v>17</v>
      </c>
      <c r="V23" s="47" t="n">
        <v>1118000</v>
      </c>
      <c r="W23" s="47" t="n">
        <v>872040000</v>
      </c>
      <c r="X23" s="48" t="n"/>
      <c r="Y23" s="47" t="n">
        <v>1229800000</v>
      </c>
      <c r="Z23" s="47" t="n">
        <v>357760000</v>
      </c>
      <c r="AB23" s="50" t="n">
        <v>213958283</v>
      </c>
      <c r="AC23" s="51" t="n">
        <v>213958283</v>
      </c>
      <c r="AD23" s="51" t="n">
        <v>3708041717</v>
      </c>
      <c r="AE23" s="51" t="n">
        <v>3922000000</v>
      </c>
      <c r="AF23" s="52" t="n">
        <v>0</v>
      </c>
      <c r="AG23" s="41" t="n">
        <v>18</v>
      </c>
    </row>
    <row r="24" ht="23.25" customHeight="1" s="1" thickBot="1">
      <c r="C24" s="21" t="inlineStr">
        <is>
          <t>سرمایه در گردش</t>
        </is>
      </c>
      <c r="D24" s="106" t="n">
        <v>49</v>
      </c>
      <c r="U24" s="45" t="n">
        <v>18</v>
      </c>
      <c r="V24" s="47" t="n">
        <v>1118000</v>
      </c>
      <c r="W24" s="47" t="n">
        <v>872040000</v>
      </c>
      <c r="X24" s="48" t="n"/>
      <c r="Y24" s="47" t="n">
        <v>1229800000</v>
      </c>
      <c r="Z24" s="47" t="n">
        <v>357760000</v>
      </c>
      <c r="AB24" s="50" t="n">
        <v>213958283</v>
      </c>
      <c r="AC24" s="51" t="n">
        <v>213958283</v>
      </c>
      <c r="AD24" s="51" t="n">
        <v>3708041717</v>
      </c>
      <c r="AE24" s="51" t="n">
        <v>3922000000</v>
      </c>
      <c r="AF24" s="52" t="n">
        <v>0</v>
      </c>
      <c r="AG24" s="41" t="n">
        <v>19</v>
      </c>
    </row>
    <row r="25" ht="23.25" customHeight="1" s="1" thickBot="1">
      <c r="U25" s="45" t="n">
        <v>19</v>
      </c>
      <c r="V25" s="47" t="n">
        <v>1118000</v>
      </c>
      <c r="W25" s="47" t="n">
        <v>872040000</v>
      </c>
      <c r="X25" s="48" t="n"/>
      <c r="Y25" s="47" t="n">
        <v>1229800000</v>
      </c>
      <c r="Z25" s="47" t="n">
        <v>357760000</v>
      </c>
      <c r="AB25" s="50" t="n">
        <v>213958283</v>
      </c>
      <c r="AC25" s="51" t="n">
        <v>213958283</v>
      </c>
      <c r="AD25" s="51" t="n">
        <v>3708041717</v>
      </c>
      <c r="AE25" s="51" t="n">
        <v>3922000000</v>
      </c>
      <c r="AF25" s="52" t="n">
        <v>0</v>
      </c>
      <c r="AG25" s="41" t="n">
        <v>20</v>
      </c>
    </row>
    <row r="26" ht="24.75" customHeight="1" s="1" thickBot="1">
      <c r="C26" s="76" t="inlineStr">
        <is>
          <t>تحلیل سرمایه گذاری</t>
        </is>
      </c>
      <c r="D26" s="103" t="n"/>
      <c r="U26" s="45" t="n">
        <v>20</v>
      </c>
      <c r="V26" s="47" t="n">
        <v>1118000</v>
      </c>
      <c r="W26" s="47" t="n">
        <v>872040000</v>
      </c>
      <c r="X26" s="48" t="n"/>
      <c r="Y26" s="47" t="n">
        <v>1229800000</v>
      </c>
      <c r="Z26" s="47" t="n">
        <v>357760000</v>
      </c>
      <c r="AB26" s="50" t="n">
        <v>213958283</v>
      </c>
      <c r="AC26" s="51" t="n">
        <v>213958283</v>
      </c>
      <c r="AD26" s="51" t="n">
        <v>3708041717</v>
      </c>
      <c r="AE26" s="51" t="n">
        <v>3922000000</v>
      </c>
      <c r="AF26" s="52" t="n">
        <v>0</v>
      </c>
      <c r="AG26" s="41" t="n">
        <v>21</v>
      </c>
    </row>
    <row r="27" ht="24.75" customHeight="1" s="1" thickBot="1">
      <c r="C27" s="30" t="inlineStr">
        <is>
          <t>عنوان</t>
        </is>
      </c>
      <c r="D27" s="32" t="inlineStr">
        <is>
          <t>%</t>
        </is>
      </c>
      <c r="AB27" s="50" t="n">
        <v>213958283</v>
      </c>
      <c r="AC27" s="51" t="n">
        <v>213958283</v>
      </c>
      <c r="AD27" s="51" t="n">
        <v>3708041717</v>
      </c>
      <c r="AE27" s="51" t="n">
        <v>3922000000</v>
      </c>
      <c r="AF27" s="52" t="n">
        <v>0</v>
      </c>
      <c r="AG27" s="41" t="n">
        <v>22</v>
      </c>
    </row>
    <row r="28">
      <c r="C28" s="14" t="inlineStr">
        <is>
          <t>درصد ارزی کل سرمایه گذاری</t>
        </is>
      </c>
      <c r="D28" s="19" t="n">
        <v>1</v>
      </c>
    </row>
    <row r="29" ht="23.25" customHeight="1" s="1" thickBot="1">
      <c r="C29" s="14" t="inlineStr">
        <is>
          <t>دوره ساخت (سال)</t>
        </is>
      </c>
      <c r="D29" s="18" t="n">
        <v>3</v>
      </c>
    </row>
    <row r="30" ht="25.5" customHeight="1" s="1" thickBot="1">
      <c r="C30" s="14" t="inlineStr">
        <is>
          <t>دوره بازگشت سرمایه (سال)</t>
        </is>
      </c>
      <c r="D30" s="18" t="n">
        <v>20</v>
      </c>
      <c r="V30" s="54" t="inlineStr">
        <is>
          <t>کل (یورو)</t>
        </is>
      </c>
      <c r="W30" s="55" t="inlineStr">
        <is>
          <t>هزینه ریالی (میلیون ریال)</t>
        </is>
      </c>
      <c r="X30" s="55" t="inlineStr">
        <is>
          <t>هزینه ارزی ( یورو)</t>
        </is>
      </c>
      <c r="Y30" s="55" t="inlineStr">
        <is>
          <t>اقلام هزینه های عملیاتی</t>
        </is>
      </c>
      <c r="AB30" s="49" t="inlineStr">
        <is>
          <t>ردیف</t>
        </is>
      </c>
      <c r="AC30" s="72" t="inlineStr">
        <is>
          <t>شرح</t>
        </is>
      </c>
      <c r="AD30" s="49" t="inlineStr">
        <is>
          <t>یورو در سال</t>
        </is>
      </c>
    </row>
    <row r="31" ht="25.5" customHeight="1" s="1" thickBot="1">
      <c r="C31" s="14" t="inlineStr">
        <is>
          <t>درآمد عملیاتی سالانه (EBIT)</t>
        </is>
      </c>
      <c r="D31" s="18" t="n">
        <v>735.96</v>
      </c>
      <c r="V31" s="56" t="n">
        <v>622782692</v>
      </c>
      <c r="W31" s="57" t="n">
        <v>26655010</v>
      </c>
      <c r="X31" s="57" t="n">
        <v>579069217</v>
      </c>
      <c r="Y31" s="43" t="inlineStr">
        <is>
          <t>مواد اولیه و مصرفی</t>
        </is>
      </c>
      <c r="AB31" s="41" t="n">
        <v>1</v>
      </c>
      <c r="AC31" s="59" t="inlineStr">
        <is>
          <t>کنسانتره</t>
        </is>
      </c>
      <c r="AD31" s="50" t="n">
        <v>3253663214</v>
      </c>
    </row>
    <row r="32" ht="25.5" customHeight="1" s="1" thickBot="1">
      <c r="C32" s="14" t="inlineStr">
        <is>
          <t>درآمد خالص سالانه</t>
        </is>
      </c>
      <c r="D32" s="18" t="n">
        <v>551.97</v>
      </c>
      <c r="V32" s="56" t="n">
        <v>35853214</v>
      </c>
      <c r="W32" s="57" t="n">
        <v>15775414</v>
      </c>
      <c r="X32" s="58" t="n">
        <v>0</v>
      </c>
      <c r="Y32" s="43" t="inlineStr">
        <is>
          <t>یوتیلیتی و تاسیسات مصرفی</t>
        </is>
      </c>
      <c r="AB32" s="41" t="n">
        <v>2</v>
      </c>
      <c r="AC32" s="59" t="inlineStr">
        <is>
          <t>مواد مصرفی</t>
        </is>
      </c>
      <c r="AD32" s="50" t="n">
        <v>29874220</v>
      </c>
    </row>
    <row r="33" ht="25.5" customHeight="1" s="1" thickBot="1">
      <c r="C33" s="14" t="inlineStr">
        <is>
          <t>نرخ بازده داخلی (IRR)</t>
        </is>
      </c>
      <c r="D33" s="19" t="n">
        <v>0.2303</v>
      </c>
      <c r="V33" s="56" t="n">
        <v>64288522</v>
      </c>
      <c r="W33" s="57" t="n">
        <v>28286950</v>
      </c>
      <c r="X33" s="58" t="n">
        <v>0</v>
      </c>
      <c r="Y33" s="43" t="inlineStr">
        <is>
          <t>تعمیر و نگهداری</t>
        </is>
      </c>
      <c r="AB33" s="41" t="n">
        <v>3</v>
      </c>
      <c r="AC33" s="59" t="inlineStr">
        <is>
          <t>زغالسنگ</t>
        </is>
      </c>
      <c r="AD33" s="50" t="n">
        <v>17042</v>
      </c>
    </row>
    <row r="34" ht="25.5" customHeight="1" s="1" thickBot="1">
      <c r="C34" s="21" t="inlineStr">
        <is>
          <t>خالص ارزش فعلی پروژه با نرخ تنزیل 12% (NPV)</t>
        </is>
      </c>
      <c r="D34" s="40" t="inlineStr">
        <is>
          <t>2,067 میلیون یورو</t>
        </is>
      </c>
      <c r="V34" s="56" t="n">
        <v>9890542</v>
      </c>
      <c r="W34" s="57" t="n">
        <v>4351838</v>
      </c>
      <c r="X34" s="58" t="n">
        <v>0</v>
      </c>
      <c r="Y34" s="43" t="inlineStr">
        <is>
          <t>نیروی انسانی</t>
        </is>
      </c>
      <c r="AB34" s="41" t="n">
        <v>4</v>
      </c>
      <c r="AC34" s="59" t="inlineStr">
        <is>
          <t>گاز طبیعی</t>
        </is>
      </c>
      <c r="AD34" s="50" t="n">
        <v>818730</v>
      </c>
    </row>
    <row r="35" ht="25.5" customHeight="1" s="1" thickBot="1">
      <c r="V35" s="56" t="n">
        <v>98658155</v>
      </c>
      <c r="W35" s="57" t="n">
        <v>14687455</v>
      </c>
      <c r="X35" s="57" t="n">
        <v>67235903</v>
      </c>
      <c r="Y35" s="43" t="inlineStr">
        <is>
          <t>هزینه سربار</t>
        </is>
      </c>
      <c r="AB35" s="41" t="n">
        <v>5</v>
      </c>
      <c r="AC35" s="59" t="inlineStr">
        <is>
          <t>برق</t>
        </is>
      </c>
      <c r="AD35" s="50" t="n">
        <v>8273828</v>
      </c>
    </row>
    <row r="36" ht="25.5" customHeight="1" s="1" thickBot="1">
      <c r="C36" s="76" t="inlineStr">
        <is>
          <t>جزئیات درآمدی</t>
        </is>
      </c>
      <c r="D36" s="103" t="n"/>
      <c r="F36" s="7" t="n"/>
      <c r="V36" s="56" t="n">
        <v>12363177</v>
      </c>
      <c r="W36" s="57" t="n">
        <v>5439798</v>
      </c>
      <c r="X36" s="58" t="n">
        <v>0</v>
      </c>
      <c r="Y36" s="43" t="inlineStr">
        <is>
          <t>هزینه بازاریابی و فروش</t>
        </is>
      </c>
      <c r="AB36" s="41" t="n">
        <v>6</v>
      </c>
      <c r="AC36" s="59" t="inlineStr">
        <is>
          <t>آب</t>
        </is>
      </c>
      <c r="AD36" s="50" t="n">
        <v>314014</v>
      </c>
    </row>
    <row r="37" ht="25.5" customHeight="1" s="1" thickBot="1">
      <c r="C37" s="30" t="inlineStr">
        <is>
          <t>نام محصول</t>
        </is>
      </c>
      <c r="D37" s="31" t="inlineStr">
        <is>
          <t>ظرفیت تولید سالانه</t>
        </is>
      </c>
      <c r="F37" s="7" t="n"/>
      <c r="V37" s="56" t="n">
        <v>15948499</v>
      </c>
      <c r="W37" s="57" t="n">
        <v>1631939</v>
      </c>
      <c r="X37" s="57" t="n">
        <v>12606732</v>
      </c>
      <c r="Y37" s="43" t="inlineStr">
        <is>
          <t>قطعات یدکی</t>
        </is>
      </c>
      <c r="AB37" s="41" t="n">
        <v>7</v>
      </c>
      <c r="AC37" s="59" t="inlineStr">
        <is>
          <t>نیروی کار مستقیم</t>
        </is>
      </c>
      <c r="AD37" s="50" t="n">
        <v>36743494</v>
      </c>
    </row>
    <row r="38" ht="25.5" customHeight="1" s="1" thickBot="1">
      <c r="C38" s="17" t="inlineStr">
        <is>
          <t>کاتد مس</t>
        </is>
      </c>
      <c r="D38" s="40" t="inlineStr">
        <is>
          <t>400,000 تن در سال</t>
        </is>
      </c>
      <c r="F38" s="7" t="n"/>
      <c r="V38" s="56" t="n">
        <v>11225765</v>
      </c>
      <c r="W38" s="57" t="n">
        <v>3263879</v>
      </c>
      <c r="X38" s="57" t="n">
        <v>3922094</v>
      </c>
      <c r="Y38" s="43" t="inlineStr">
        <is>
          <t>هزینه های پیش بینی نشده</t>
        </is>
      </c>
      <c r="AB38" s="41" t="n">
        <v>8</v>
      </c>
      <c r="AC38" s="59" t="inlineStr">
        <is>
          <t>نگهداری (5 درصد)</t>
        </is>
      </c>
      <c r="AD38" s="50" t="n">
        <v>28677205</v>
      </c>
    </row>
    <row r="39" ht="25.5" customHeight="1" s="1" thickBot="1">
      <c r="C39" s="53" t="inlineStr">
        <is>
          <t>اسید سولفوریک</t>
        </is>
      </c>
      <c r="D39" s="40" t="inlineStr">
        <is>
          <t>1,720,000 تن در سال</t>
        </is>
      </c>
      <c r="F39" s="7" t="n"/>
      <c r="V39" s="56" t="n">
        <v>871010565</v>
      </c>
      <c r="W39" s="57" t="n">
        <v>100092283</v>
      </c>
      <c r="X39" s="57" t="n">
        <v>662833947</v>
      </c>
      <c r="Y39" s="43" t="inlineStr">
        <is>
          <t>کل</t>
        </is>
      </c>
      <c r="AB39" s="41" t="n">
        <v>9</v>
      </c>
      <c r="AC39" s="59" t="inlineStr">
        <is>
          <t>هزینه های پیشبینی نشده</t>
        </is>
      </c>
      <c r="AD39" s="50" t="n">
        <v>9991544</v>
      </c>
    </row>
    <row r="40" ht="24.75" customHeight="1" s="1" thickBot="1">
      <c r="C40" s="17" t="inlineStr">
        <is>
          <t>اسید فسفریک</t>
        </is>
      </c>
      <c r="D40" s="40" t="inlineStr">
        <is>
          <t>570,000 تن در سال (P2O5 100%)</t>
        </is>
      </c>
      <c r="F40" s="7" t="n"/>
      <c r="AB40" s="49" t="inlineStr">
        <is>
          <t>مجموع</t>
        </is>
      </c>
      <c r="AC40" s="107" t="n"/>
      <c r="AD40" s="93" t="n">
        <v>3368526666</v>
      </c>
    </row>
    <row r="41" ht="23.25" customHeight="1" s="1" thickBot="1">
      <c r="C41" s="17" t="inlineStr">
        <is>
          <t>لجن آندی</t>
        </is>
      </c>
      <c r="D41" s="40" t="inlineStr">
        <is>
          <t>1,200 تن در سال</t>
        </is>
      </c>
      <c r="F41" s="7" t="n"/>
    </row>
    <row r="42" ht="23.25" customHeight="1" s="1" thickBot="1">
      <c r="C42" s="14" t="inlineStr">
        <is>
          <t>درآمد سالانه (میانگین 25 ساله)</t>
        </is>
      </c>
      <c r="D42" s="40" t="inlineStr">
        <is>
          <t>5,150 میلیون یورو</t>
        </is>
      </c>
      <c r="AB42" s="49" t="inlineStr">
        <is>
          <t>ردیف</t>
        </is>
      </c>
      <c r="AC42" s="72" t="inlineStr">
        <is>
          <t>شرح</t>
        </is>
      </c>
      <c r="AD42" s="49" t="inlineStr">
        <is>
          <t>یورو در سال</t>
        </is>
      </c>
    </row>
    <row r="43" ht="23.25" customHeight="1" s="1" thickBot="1">
      <c r="C43" s="14" t="inlineStr">
        <is>
          <t>درصد درآمد ارزی</t>
        </is>
      </c>
      <c r="D43" s="19" t="n">
        <v>1</v>
      </c>
      <c r="AB43" s="41" t="n">
        <v>1</v>
      </c>
      <c r="AC43" s="59" t="inlineStr">
        <is>
          <t>مواد مصرفی</t>
        </is>
      </c>
      <c r="AD43" s="94" t="n">
        <v>277017</v>
      </c>
    </row>
    <row r="44" ht="23.25" customHeight="1" s="1" thickBot="1">
      <c r="C44" s="21" t="inlineStr">
        <is>
          <t>بازار هدف</t>
        </is>
      </c>
      <c r="D44" s="20" t="inlineStr">
        <is>
          <t>صادرات</t>
        </is>
      </c>
      <c r="AB44" s="41" t="n">
        <v>2</v>
      </c>
      <c r="AC44" s="59" t="inlineStr">
        <is>
          <t>برق</t>
        </is>
      </c>
      <c r="AD44" s="94" t="n">
        <v>6619654</v>
      </c>
    </row>
    <row r="45" ht="23.25" customHeight="1" s="1" thickBot="1">
      <c r="C45" t="inlineStr">
        <is>
          <t>تفکیک درآمد محصولات</t>
        </is>
      </c>
    </row>
    <row r="46" ht="24.75" customHeight="1" s="1" thickBot="1">
      <c r="C46" t="inlineStr">
        <is>
          <t>محصول</t>
        </is>
      </c>
      <c r="E46" t="inlineStr">
        <is>
          <t>تولید سالانه (تن)</t>
        </is>
      </c>
      <c r="F46" t="inlineStr">
        <is>
          <t>درآمد سالانه (میلیون EUR)</t>
        </is>
      </c>
    </row>
    <row r="47" ht="24.75" customHeight="1" s="1" thickBot="1">
      <c r="C47" t="inlineStr">
        <is>
          <t>کاتد مس</t>
        </is>
      </c>
      <c r="D47" t="n">
        <v>8500</v>
      </c>
      <c r="E47" t="n">
        <v>400000</v>
      </c>
      <c r="F47">
        <f>D47*E47/1000000*0.92</f>
        <v/>
      </c>
    </row>
    <row r="48" ht="23.25" customHeight="1" s="1" thickBot="1">
      <c r="C48" t="inlineStr">
        <is>
          <t>اسید سولفوریک</t>
        </is>
      </c>
      <c r="D48" t="n">
        <v>120</v>
      </c>
      <c r="E48" t="n">
        <v>1720000</v>
      </c>
      <c r="F48">
        <f>D48*E48/1000000*0.92</f>
        <v/>
      </c>
    </row>
    <row r="49" ht="24.75" customHeight="1" s="1" thickBot="1">
      <c r="C49" t="inlineStr">
        <is>
          <t>اسید فسفریک</t>
        </is>
      </c>
      <c r="D49" t="n">
        <v>650</v>
      </c>
      <c r="E49" t="n">
        <v>570000</v>
      </c>
      <c r="F49">
        <f>D49*E49/1000000*0.92</f>
        <v/>
      </c>
    </row>
    <row r="50" ht="23.25" customHeight="1" s="1" thickBot="1">
      <c r="C50" t="inlineStr">
        <is>
          <t>لجن آندی</t>
        </is>
      </c>
      <c r="D50" t="n">
        <v>25000</v>
      </c>
      <c r="E50" t="n">
        <v>1200</v>
      </c>
      <c r="F50">
        <f>D50*E50/1000000*0.92</f>
        <v/>
      </c>
    </row>
    <row r="51" ht="23.25" customHeight="1" s="1" thickBot="1">
      <c r="C51" t="inlineStr">
        <is>
          <t>جمع درآمد سالانه</t>
        </is>
      </c>
      <c r="F51">
        <f>SUM(F47:F50)</f>
        <v/>
      </c>
    </row>
    <row r="52" ht="23.25" customHeight="1" s="1" thickBot="1"/>
    <row r="53" ht="23.25" customHeight="1" s="1" thickBot="1"/>
    <row r="54" ht="23.25" customHeight="1" s="1" thickBot="1"/>
    <row r="55" ht="23.25" customHeight="1" s="1" thickBot="1">
      <c r="AB55" s="41" t="n">
        <v>3</v>
      </c>
      <c r="AC55" s="59" t="inlineStr">
        <is>
          <t>آب</t>
        </is>
      </c>
      <c r="AD55" s="94" t="n">
        <v>9792</v>
      </c>
    </row>
    <row r="56" ht="23.25" customHeight="1" s="1" thickBot="1">
      <c r="C56" s="76" t="inlineStr">
        <is>
          <t>جزئیات هزینه های عملیاتی</t>
        </is>
      </c>
      <c r="D56" s="103" t="n"/>
      <c r="AB56" s="41" t="n">
        <v>4</v>
      </c>
      <c r="AC56" s="59" t="inlineStr">
        <is>
          <t>نیروی کار مستقیم</t>
        </is>
      </c>
      <c r="AD56" s="94" t="n">
        <v>13903806</v>
      </c>
    </row>
    <row r="57" ht="24.75" customHeight="1" s="1" thickBot="1">
      <c r="C57" s="30" t="inlineStr">
        <is>
          <t>عنوان</t>
        </is>
      </c>
      <c r="D57" s="114" t="n"/>
      <c r="AB57" s="41" t="n">
        <v>5</v>
      </c>
      <c r="AC57" s="59" t="inlineStr">
        <is>
          <t>نگهداری</t>
        </is>
      </c>
      <c r="AD57" s="94" t="n">
        <v>17594865</v>
      </c>
    </row>
    <row r="58" ht="24.75" customHeight="1" s="1" thickBot="1">
      <c r="C58" s="14" t="inlineStr">
        <is>
          <t>خوراک</t>
        </is>
      </c>
      <c r="D58" s="65" t="n">
        <v>3923478375</v>
      </c>
      <c r="E58" s="82">
        <f>D48/$D$54*100</f>
        <v/>
      </c>
      <c r="AB58" s="41" t="n">
        <v>6</v>
      </c>
      <c r="AC58" s="115" t="n"/>
      <c r="AD58" s="94" t="n">
        <v>3849330</v>
      </c>
    </row>
    <row r="59" ht="23.25" customHeight="1" s="1" thickBot="1">
      <c r="C59" s="14" t="inlineStr">
        <is>
          <t>یوتیلیتی (هزینه مصرف تاسیسات زیرساختی پشتیبانی تولید)</t>
        </is>
      </c>
      <c r="D59" s="65" t="n">
        <v>68348285</v>
      </c>
      <c r="E59" s="82">
        <f>D49/$D$54*100</f>
        <v/>
      </c>
      <c r="AB59" s="49" t="inlineStr">
        <is>
          <t>مجموع</t>
        </is>
      </c>
      <c r="AC59" s="107" t="n"/>
      <c r="AD59" s="93" t="n">
        <v>42342591</v>
      </c>
    </row>
    <row r="60" ht="23.25" customHeight="1" s="1" thickBot="1">
      <c r="C60" s="14" t="inlineStr">
        <is>
          <t>پرسنلی</t>
        </is>
      </c>
      <c r="D60" s="65" t="n">
        <v>90919737</v>
      </c>
      <c r="E60" s="82">
        <f>D50/$D$54*100</f>
        <v/>
      </c>
    </row>
    <row r="61" ht="23.25" customHeight="1" s="1" thickBot="1">
      <c r="C61" s="14" t="inlineStr">
        <is>
          <t>بازاریابی، فروش و لجستیک</t>
        </is>
      </c>
      <c r="D61" s="15" t="n">
        <v>12363177</v>
      </c>
      <c r="E61" s="82">
        <f>D51/$D$54*100</f>
        <v/>
      </c>
      <c r="AB61" s="49" t="inlineStr">
        <is>
          <t>ردیف</t>
        </is>
      </c>
      <c r="AC61" s="72" t="inlineStr">
        <is>
          <t>شرح</t>
        </is>
      </c>
      <c r="AD61" s="49" t="inlineStr">
        <is>
          <t>یورو در سال</t>
        </is>
      </c>
    </row>
    <row r="62" ht="23.25" customHeight="1" s="1" thickBot="1">
      <c r="C62" s="14" t="inlineStr">
        <is>
          <t>تعمیر و نگهداری</t>
        </is>
      </c>
      <c r="D62" s="65" t="n">
        <v>164855990</v>
      </c>
      <c r="E62" s="82">
        <f>D52/$D$54*100</f>
        <v/>
      </c>
      <c r="AB62" s="41" t="n">
        <v>1</v>
      </c>
      <c r="AC62" s="59" t="inlineStr">
        <is>
          <t>مواد مصرفی</t>
        </is>
      </c>
      <c r="AD62" s="94" t="n">
        <v>4801267</v>
      </c>
    </row>
    <row r="63" ht="23.25" customHeight="1" s="1" thickBot="1">
      <c r="C63" s="14" t="inlineStr">
        <is>
          <t>سایر هزینه ها</t>
        </is>
      </c>
      <c r="D63" s="65" t="n">
        <v>37081385</v>
      </c>
      <c r="E63" s="82">
        <f>D53/$D$54*100</f>
        <v/>
      </c>
      <c r="AB63" s="41" t="n">
        <v>2</v>
      </c>
      <c r="AC63" s="59" t="inlineStr">
        <is>
          <t>برق</t>
        </is>
      </c>
      <c r="AD63" s="94" t="n">
        <v>238506</v>
      </c>
    </row>
    <row r="64" ht="23.25" customHeight="1" s="1" thickBot="1">
      <c r="C64" s="14" t="inlineStr">
        <is>
          <t>هزینه های سالانه</t>
        </is>
      </c>
      <c r="D64" s="65" t="n">
        <v>4414042026</v>
      </c>
      <c r="AB64" s="41" t="n">
        <v>3</v>
      </c>
      <c r="AC64" s="59" t="inlineStr">
        <is>
          <t>آب</t>
        </is>
      </c>
      <c r="AD64" s="94" t="n">
        <v>162768</v>
      </c>
    </row>
    <row r="65" ht="23.25" customHeight="1" s="1" thickBot="1">
      <c r="C65" s="21" t="inlineStr">
        <is>
          <t>درصد هزینه های ارزی</t>
        </is>
      </c>
      <c r="D65" s="16" t="n">
        <v>100</v>
      </c>
      <c r="AB65" s="41" t="n">
        <v>4</v>
      </c>
      <c r="AC65" s="59" t="inlineStr">
        <is>
          <t>نیروی کار مستقیم</t>
        </is>
      </c>
      <c r="AD65" s="94" t="n">
        <v>6769915</v>
      </c>
    </row>
    <row r="66" ht="23.25" customHeight="1" s="1" thickBot="1">
      <c r="AB66" s="41" t="n">
        <v>5</v>
      </c>
      <c r="AC66" s="59" t="inlineStr">
        <is>
          <t>نگهداری (5 درصد)</t>
        </is>
      </c>
      <c r="AD66" s="94" t="n">
        <v>9022480</v>
      </c>
    </row>
    <row r="67" ht="23.25" customHeight="1" s="1" thickBot="1">
      <c r="C67" t="inlineStr">
        <is>
          <t>مواد اولیه مورد نیاز</t>
        </is>
      </c>
    </row>
    <row r="68" ht="23.25" customHeight="1" s="1" thickBot="1">
      <c r="C68" t="inlineStr">
        <is>
          <t>ماده اولیه</t>
        </is>
      </c>
      <c r="D68" t="inlineStr">
        <is>
          <t>مقدار سالانه (تن)</t>
        </is>
      </c>
      <c r="E68" t="inlineStr">
        <is>
          <t>قیمت واحد (USD/تن)</t>
        </is>
      </c>
      <c r="F68" t="inlineStr">
        <is>
          <t>هزینه سالانه (میلیون EUR)</t>
        </is>
      </c>
    </row>
    <row r="69" ht="24.75" customHeight="1" s="1" thickBot="1">
      <c r="C69" t="inlineStr">
        <is>
          <t>کنسانتره مس</t>
        </is>
      </c>
      <c r="D69" t="n">
        <v>1600000</v>
      </c>
      <c r="E69" t="n">
        <v>2200</v>
      </c>
      <c r="F69">
        <f>D69*E69/1000000*0.92</f>
        <v/>
      </c>
    </row>
    <row r="70" ht="23.25" customHeight="1" s="1" thickBot="1">
      <c r="C70" t="inlineStr">
        <is>
          <t>سنگ فسفات</t>
        </is>
      </c>
      <c r="D70" t="n">
        <v>1900000</v>
      </c>
      <c r="E70" t="n">
        <v>85</v>
      </c>
      <c r="F70">
        <f>D70*E70/1000000*0.92</f>
        <v/>
      </c>
    </row>
    <row r="71" ht="23.25" customHeight="1" s="1" thickBot="1">
      <c r="C71" t="inlineStr">
        <is>
          <t>مواد شیمیایی و مصرفی</t>
        </is>
      </c>
      <c r="D71" t="n">
        <v>50000</v>
      </c>
      <c r="E71" t="n">
        <v>800</v>
      </c>
      <c r="F71">
        <f>D71*E71/1000000*0.92</f>
        <v/>
      </c>
    </row>
    <row r="72" ht="23.25" customHeight="1" s="1" thickBot="1">
      <c r="C72" t="inlineStr">
        <is>
          <t>جمع هزینه مواد اولیه</t>
        </is>
      </c>
      <c r="F72">
        <f>SUM(F69:F71)</f>
        <v/>
      </c>
    </row>
    <row r="73" ht="23.25" customHeight="1" s="1" thickBot="1"/>
    <row r="74" ht="23.25" customHeight="1" s="1" thickBot="1">
      <c r="C74" t="inlineStr">
        <is>
          <t>نیازهای یوتیلیتی</t>
        </is>
      </c>
    </row>
    <row r="75" ht="23.25" customHeight="1" s="1" thickBot="1">
      <c r="C75" t="inlineStr">
        <is>
          <t>یوتیلیتی</t>
        </is>
      </c>
      <c r="D75" t="inlineStr">
        <is>
          <t>مصرف سالانه</t>
        </is>
      </c>
      <c r="E75" t="inlineStr">
        <is>
          <t>واحد</t>
        </is>
      </c>
      <c r="F75" t="inlineStr">
        <is>
          <t>هزینه سالانه (میلیون EUR)</t>
        </is>
      </c>
    </row>
    <row r="76" ht="23.25" customHeight="1" s="1" thickBot="1">
      <c r="C76" t="inlineStr">
        <is>
          <t>برق</t>
        </is>
      </c>
      <c r="D76" t="n">
        <v>2500000</v>
      </c>
      <c r="E76" t="inlineStr">
        <is>
          <t>MWh</t>
        </is>
      </c>
      <c r="F76" t="n">
        <v>15.5</v>
      </c>
    </row>
    <row r="77" ht="23.25" customHeight="1" s="1" thickBot="1">
      <c r="C77" t="inlineStr">
        <is>
          <t>آب</t>
        </is>
      </c>
      <c r="D77" t="n">
        <v>25000000</v>
      </c>
      <c r="E77" t="inlineStr">
        <is>
          <t>m3</t>
        </is>
      </c>
      <c r="F77" t="n">
        <v>12.3</v>
      </c>
    </row>
    <row r="78" ht="24.75" customHeight="1" s="1" thickBot="1">
      <c r="C78" t="inlineStr">
        <is>
          <t>گاز طبیعی</t>
        </is>
      </c>
      <c r="D78" t="n">
        <v>150000000</v>
      </c>
      <c r="E78" t="inlineStr">
        <is>
          <t>m3</t>
        </is>
      </c>
      <c r="F78" t="n">
        <v>28.5</v>
      </c>
    </row>
    <row r="79" ht="23.25" customHeight="1" s="1" thickBot="1">
      <c r="C79" t="inlineStr">
        <is>
          <t>هوای فشرده</t>
        </is>
      </c>
      <c r="D79" t="n">
        <v>500000000</v>
      </c>
      <c r="E79" t="inlineStr">
        <is>
          <t>Nm3</t>
        </is>
      </c>
      <c r="F79" t="n">
        <v>8.199999999999999</v>
      </c>
    </row>
    <row r="80" ht="23.25" customHeight="1" s="1" thickBot="1">
      <c r="C80" t="inlineStr">
        <is>
          <t>بخار</t>
        </is>
      </c>
      <c r="D80" t="n">
        <v>3500000</v>
      </c>
      <c r="E80" t="inlineStr">
        <is>
          <t>ton</t>
        </is>
      </c>
      <c r="F80" t="n">
        <v>3.8</v>
      </c>
    </row>
    <row r="81" ht="23.25" customHeight="1" s="1" thickBot="1">
      <c r="C81" t="inlineStr">
        <is>
          <t>جمع هزینه یوتیلیتی</t>
        </is>
      </c>
      <c r="F81">
        <f>SUM(F76:F80)</f>
        <v/>
      </c>
    </row>
    <row r="82" ht="23.25" customHeight="1" s="1" thickBot="1">
      <c r="C82" s="76" t="inlineStr">
        <is>
          <t>جریان نقدی پروژه</t>
        </is>
      </c>
      <c r="D82" s="103" t="n"/>
      <c r="AB82" s="41" t="n">
        <v>6</v>
      </c>
      <c r="AC82" s="59" t="inlineStr">
        <is>
          <t>هزینه های پیشبینی نشده</t>
        </is>
      </c>
      <c r="AD82" s="94" t="n">
        <v>2314186</v>
      </c>
    </row>
    <row r="83" ht="23.25" customHeight="1" s="1" thickBot="1">
      <c r="C83" t="inlineStr">
        <is>
          <t>نیروی انسانی مورد نیاز</t>
        </is>
      </c>
    </row>
    <row r="84" ht="23.25" customHeight="1" s="1" thickBot="1">
      <c r="C84" t="inlineStr">
        <is>
          <t>رده شغلی</t>
        </is>
      </c>
      <c r="D84" t="inlineStr">
        <is>
          <t>تعداد</t>
        </is>
      </c>
      <c r="E84" t="inlineStr">
        <is>
          <t>حقوق متوسط سالانه (EUR)</t>
        </is>
      </c>
      <c r="F84" t="inlineStr">
        <is>
          <t>هزینه سالانه (میلیون EUR)</t>
        </is>
      </c>
    </row>
    <row r="85" ht="23.25" customHeight="1" s="1" thickBot="1">
      <c r="C85" t="inlineStr">
        <is>
          <t>مدیریت ارشد</t>
        </is>
      </c>
      <c r="D85" t="n">
        <v>25</v>
      </c>
      <c r="E85" t="n">
        <v>85000</v>
      </c>
      <c r="F85">
        <f>D85*E85/1000000</f>
        <v/>
      </c>
    </row>
    <row r="86" ht="23.25" customHeight="1" s="1" thickBot="1">
      <c r="C86" t="inlineStr">
        <is>
          <t>مهندسین</t>
        </is>
      </c>
      <c r="D86" t="n">
        <v>180</v>
      </c>
      <c r="E86" t="n">
        <v>55000</v>
      </c>
      <c r="F86">
        <f>D86*E86/1000000</f>
        <v/>
      </c>
    </row>
    <row r="87" ht="24.75" customHeight="1" s="1" thickBot="1">
      <c r="C87" t="inlineStr">
        <is>
          <t>تکنسین ها</t>
        </is>
      </c>
      <c r="D87" t="n">
        <v>320</v>
      </c>
      <c r="E87" t="n">
        <v>38000</v>
      </c>
      <c r="F87">
        <f>D87*E87/1000000</f>
        <v/>
      </c>
    </row>
    <row r="88" ht="23.25" customHeight="1" s="1" thickBot="1">
      <c r="C88" t="inlineStr">
        <is>
          <t>اپراتورها</t>
        </is>
      </c>
      <c r="D88" t="n">
        <v>580</v>
      </c>
      <c r="E88" t="n">
        <v>32000</v>
      </c>
      <c r="F88">
        <f>D88*E88/1000000</f>
        <v/>
      </c>
    </row>
    <row r="89" ht="23.25" customHeight="1" s="1" thickBot="1">
      <c r="C89" t="inlineStr">
        <is>
          <t>نیروی تعمیرات</t>
        </is>
      </c>
      <c r="D89" t="n">
        <v>240</v>
      </c>
      <c r="E89" t="n">
        <v>35000</v>
      </c>
      <c r="F89">
        <f>D89*E89/1000000</f>
        <v/>
      </c>
    </row>
    <row r="90" ht="23.25" customHeight="1" s="1" thickBot="1">
      <c r="C90" t="inlineStr">
        <is>
          <t>کارکنان اداری</t>
        </is>
      </c>
      <c r="D90" t="n">
        <v>155</v>
      </c>
      <c r="E90" t="n">
        <v>28000</v>
      </c>
      <c r="F90">
        <f>D90*E90/1000000</f>
        <v/>
      </c>
    </row>
    <row r="91" ht="23.25" customHeight="1" s="1" thickBot="1">
      <c r="C91" t="inlineStr">
        <is>
          <t>کارکنان پشتیبانی</t>
        </is>
      </c>
      <c r="D91" t="n">
        <v>200</v>
      </c>
      <c r="E91" t="n">
        <v>22000</v>
      </c>
      <c r="F91">
        <f>D91*E91/1000000</f>
        <v/>
      </c>
    </row>
    <row r="92" ht="23.25" customHeight="1" s="1" thickBot="1">
      <c r="C92" t="inlineStr">
        <is>
          <t>جمع نیروی انسانی</t>
        </is>
      </c>
      <c r="D92">
        <f>SUM(D85:D91)</f>
        <v/>
      </c>
      <c r="F92">
        <f>SUM(F85:F91)</f>
        <v/>
      </c>
    </row>
    <row r="93" ht="23.25" customHeight="1" s="1" thickBot="1"/>
    <row r="94" ht="23.25" customHeight="1" s="1" thickBot="1"/>
    <row r="95" ht="23.25" customHeight="1" s="1" thickBot="1"/>
    <row r="96" ht="24.75" customHeight="1" s="1" thickBot="1"/>
    <row r="103">
      <c r="C103" t="inlineStr">
        <is>
          <t>تجهیزات اصلی</t>
        </is>
      </c>
    </row>
    <row r="104">
      <c r="C104" t="inlineStr">
        <is>
          <t>تجهیز</t>
        </is>
      </c>
      <c r="D104" t="inlineStr">
        <is>
          <t>تعداد</t>
        </is>
      </c>
      <c r="E104" t="inlineStr">
        <is>
          <t>ظرفیت/مشخصات</t>
        </is>
      </c>
      <c r="F104" t="inlineStr">
        <is>
          <t>هزینه واحد (میلیون EUR)</t>
        </is>
      </c>
      <c r="G104" t="inlineStr">
        <is>
          <t>هزینه کل (میلیون EUR)</t>
        </is>
      </c>
    </row>
    <row r="105">
      <c r="C105" t="inlineStr">
        <is>
          <t>کوره ذوب</t>
        </is>
      </c>
      <c r="D105" t="n">
        <v>4</v>
      </c>
      <c r="E105" t="inlineStr">
        <is>
          <t>150 تن/ساعت</t>
        </is>
      </c>
      <c r="F105" t="n">
        <v>45</v>
      </c>
      <c r="G105">
        <f>D105*F105</f>
        <v/>
      </c>
    </row>
    <row r="106">
      <c r="C106" t="inlineStr">
        <is>
          <t>کوره تبدیل</t>
        </is>
      </c>
      <c r="D106" t="n">
        <v>3</v>
      </c>
      <c r="E106" t="inlineStr">
        <is>
          <t>120 تن/ساعت</t>
        </is>
      </c>
      <c r="F106" t="n">
        <v>38</v>
      </c>
      <c r="G106">
        <f>D106*F106</f>
        <v/>
      </c>
    </row>
    <row r="107">
      <c r="C107" t="inlineStr">
        <is>
          <t>کوره آند</t>
        </is>
      </c>
      <c r="D107" t="n">
        <v>2</v>
      </c>
      <c r="E107" t="inlineStr">
        <is>
          <t>80 تن/ساعت</t>
        </is>
      </c>
      <c r="F107" t="n">
        <v>32</v>
      </c>
      <c r="G107">
        <f>D107*F107</f>
        <v/>
      </c>
    </row>
    <row r="108">
      <c r="C108" t="inlineStr">
        <is>
          <t>سلول های الکترولیز</t>
        </is>
      </c>
      <c r="D108" t="n">
        <v>1200</v>
      </c>
      <c r="E108" t="inlineStr">
        <is>
          <t>350 آمپر/m2</t>
        </is>
      </c>
      <c r="F108" t="n">
        <v>0.25</v>
      </c>
      <c r="G108">
        <f>D108*F108</f>
        <v/>
      </c>
    </row>
    <row r="109">
      <c r="C109" t="inlineStr">
        <is>
          <t>واحد تولید اسید سولفوریک</t>
        </is>
      </c>
      <c r="D109" t="n">
        <v>2</v>
      </c>
      <c r="E109" t="inlineStr">
        <is>
          <t>860,000 تن/سال</t>
        </is>
      </c>
      <c r="F109" t="n">
        <v>85</v>
      </c>
      <c r="G109">
        <f>D109*F109</f>
        <v/>
      </c>
    </row>
    <row r="110">
      <c r="C110" t="inlineStr">
        <is>
          <t>واحد تولید اسید فسفریک</t>
        </is>
      </c>
      <c r="D110" t="n">
        <v>1</v>
      </c>
      <c r="E110" t="inlineStr">
        <is>
          <t>570,000 تن/سال</t>
        </is>
      </c>
      <c r="F110" t="n">
        <v>120</v>
      </c>
      <c r="G110">
        <f>D110*F110</f>
        <v/>
      </c>
    </row>
    <row r="111">
      <c r="C111" t="inlineStr">
        <is>
          <t>تجهیزات خردایش و آسیاب</t>
        </is>
      </c>
      <c r="D111" t="n">
        <v>1</v>
      </c>
      <c r="E111" t="inlineStr">
        <is>
          <t>200 تن/ساعت</t>
        </is>
      </c>
      <c r="F111" t="n">
        <v>65</v>
      </c>
      <c r="G111">
        <f>D111*F111</f>
        <v/>
      </c>
    </row>
    <row r="112">
      <c r="C112" t="inlineStr">
        <is>
          <t>سیستم های حمل مواد</t>
        </is>
      </c>
      <c r="D112" t="n">
        <v>1</v>
      </c>
      <c r="E112" t="inlineStr">
        <is>
          <t>سیستم کامل</t>
        </is>
      </c>
      <c r="F112" t="n">
        <v>95</v>
      </c>
      <c r="G112">
        <f>D112*F112</f>
        <v/>
      </c>
    </row>
    <row r="113">
      <c r="C113" t="inlineStr">
        <is>
          <t>جرثقیل ها و تجهیزات بلند کننده</t>
        </is>
      </c>
      <c r="D113" t="n">
        <v>18</v>
      </c>
      <c r="E113" t="inlineStr">
        <is>
          <t>50-200 تن</t>
        </is>
      </c>
      <c r="F113" t="n">
        <v>4.5</v>
      </c>
      <c r="G113">
        <f>D113*F113</f>
        <v/>
      </c>
    </row>
    <row r="114">
      <c r="C114" t="inlineStr">
        <is>
          <t>ترانسفورماتورها و تجهیزات برقی</t>
        </is>
      </c>
      <c r="D114" t="n">
        <v>1</v>
      </c>
      <c r="E114" t="inlineStr">
        <is>
          <t>350 MVA</t>
        </is>
      </c>
      <c r="F114" t="n">
        <v>125</v>
      </c>
      <c r="G114">
        <f>D114*F114</f>
        <v/>
      </c>
    </row>
    <row r="115">
      <c r="C115" t="inlineStr">
        <is>
          <t>سیستم های کنترل و اتوماسیون</t>
        </is>
      </c>
      <c r="D115" t="n">
        <v>1</v>
      </c>
      <c r="E115" t="inlineStr">
        <is>
          <t>DCS کامل</t>
        </is>
      </c>
      <c r="F115" t="n">
        <v>78</v>
      </c>
      <c r="G115">
        <f>D115*F115</f>
        <v/>
      </c>
    </row>
    <row r="116">
      <c r="C116" t="inlineStr">
        <is>
          <t>سیستم های کنترل محیط زیست</t>
        </is>
      </c>
      <c r="D116" t="n">
        <v>1</v>
      </c>
      <c r="E116" t="inlineStr">
        <is>
          <t>سیستم کامل</t>
        </is>
      </c>
      <c r="F116" t="n">
        <v>92</v>
      </c>
      <c r="G116">
        <f>D116*F116</f>
        <v/>
      </c>
    </row>
    <row r="117">
      <c r="C117" t="inlineStr">
        <is>
          <t>تجهیزات آزمایشگاهی</t>
        </is>
      </c>
      <c r="D117" t="n">
        <v>1</v>
      </c>
      <c r="E117" t="inlineStr">
        <is>
          <t>آزمایشگاه کامل</t>
        </is>
      </c>
      <c r="F117" t="n">
        <v>15</v>
      </c>
      <c r="G117">
        <f>D117*F117</f>
        <v/>
      </c>
    </row>
    <row r="118">
      <c r="C118" t="inlineStr">
        <is>
          <t>جمع هزینه تجهیزات</t>
        </is>
      </c>
      <c r="G118">
        <f>SUM(G105:G117)</f>
        <v/>
      </c>
    </row>
    <row r="128">
      <c r="C128" t="inlineStr">
        <is>
          <t>پارامترهای زیست محیطی</t>
        </is>
      </c>
    </row>
    <row r="129">
      <c r="C129" t="inlineStr">
        <is>
          <t>شاخص</t>
        </is>
      </c>
      <c r="D129" t="inlineStr">
        <is>
          <t>مقدار سالانه</t>
        </is>
      </c>
      <c r="E129" t="inlineStr">
        <is>
          <t>واحد</t>
        </is>
      </c>
      <c r="F129" t="inlineStr">
        <is>
          <t>استاندارد مجاز</t>
        </is>
      </c>
    </row>
    <row r="130">
      <c r="C130" t="inlineStr">
        <is>
          <t>انتشار SO2</t>
        </is>
      </c>
      <c r="D130" t="n">
        <v>8500</v>
      </c>
      <c r="E130" t="inlineStr">
        <is>
          <t>تن/سال</t>
        </is>
      </c>
      <c r="F130" t="inlineStr">
        <is>
          <t>&lt; 10,000 تن/سال</t>
        </is>
      </c>
    </row>
    <row r="131">
      <c r="C131" t="inlineStr">
        <is>
          <t>انتشار گرد و غبار</t>
        </is>
      </c>
      <c r="D131" t="n">
        <v>1200</v>
      </c>
      <c r="E131" t="inlineStr">
        <is>
          <t>تن/سال</t>
        </is>
      </c>
      <c r="F131" t="inlineStr">
        <is>
          <t>&lt; 2,000 تن/سال</t>
        </is>
      </c>
    </row>
    <row r="132">
      <c r="C132" t="inlineStr">
        <is>
          <t>انتشار CO2</t>
        </is>
      </c>
      <c r="D132" t="n">
        <v>850000</v>
      </c>
      <c r="E132" t="inlineStr">
        <is>
          <t>تن/سال</t>
        </is>
      </c>
      <c r="F132" t="inlineStr">
        <is>
          <t>طبق استاندارد ملی</t>
        </is>
      </c>
    </row>
    <row r="133">
      <c r="C133" t="inlineStr">
        <is>
          <t>پساب خروجی</t>
        </is>
      </c>
      <c r="D133" t="n">
        <v>5000000</v>
      </c>
      <c r="E133" t="inlineStr">
        <is>
          <t>m3/سال</t>
        </is>
      </c>
      <c r="F133" t="inlineStr">
        <is>
          <t>تصفیه شده</t>
        </is>
      </c>
    </row>
    <row r="134">
      <c r="C134" t="inlineStr">
        <is>
          <t>پسماند جامد</t>
        </is>
      </c>
      <c r="D134" t="n">
        <v>125000</v>
      </c>
      <c r="E134" t="inlineStr">
        <is>
          <t>تن/سال</t>
        </is>
      </c>
      <c r="F134" t="inlineStr">
        <is>
          <t>دفن بهداشتی</t>
        </is>
      </c>
    </row>
    <row r="135">
      <c r="C135" t="inlineStr">
        <is>
          <t>پسماند خطرناک</t>
        </is>
      </c>
      <c r="D135" t="n">
        <v>8500</v>
      </c>
      <c r="E135" t="inlineStr">
        <is>
          <t>تن/سال</t>
        </is>
      </c>
      <c r="F135" t="inlineStr">
        <is>
          <t>دفن ویژه</t>
        </is>
      </c>
    </row>
    <row r="136">
      <c r="C136" t="inlineStr">
        <is>
          <t>سطح صدا</t>
        </is>
      </c>
      <c r="D136" t="n">
        <v>75</v>
      </c>
      <c r="E136" t="inlineStr">
        <is>
          <t>dB</t>
        </is>
      </c>
      <c r="F136" t="inlineStr">
        <is>
          <t>&lt; 85 dB</t>
        </is>
      </c>
    </row>
    <row r="137">
      <c r="C137" t="inlineStr">
        <is>
          <t>سرمایه گذاری زیست محیطی</t>
        </is>
      </c>
      <c r="D137" t="n">
        <v>92</v>
      </c>
      <c r="E137" t="inlineStr">
        <is>
          <t>میلیون یورو</t>
        </is>
      </c>
      <c r="F137" t="inlineStr">
        <is>
          <t>4.5% از کل سرمایه</t>
        </is>
      </c>
    </row>
    <row r="138">
      <c r="C138" t="inlineStr">
        <is>
          <t>هزینه سالانه زیست محیطی</t>
        </is>
      </c>
      <c r="D138" t="n">
        <v>18.5</v>
      </c>
      <c r="E138" t="inlineStr">
        <is>
          <t>میلیون یورو</t>
        </is>
      </c>
      <c r="F138" t="inlineStr">
        <is>
          <t>شامل در OPEX</t>
        </is>
      </c>
    </row>
    <row r="146">
      <c r="C146" t="inlineStr">
        <is>
          <t>مشخصات فنی</t>
        </is>
      </c>
    </row>
    <row r="147">
      <c r="C147" t="inlineStr">
        <is>
          <t>پارامتر</t>
        </is>
      </c>
      <c r="D147" t="inlineStr">
        <is>
          <t>مقدار</t>
        </is>
      </c>
      <c r="E147" t="inlineStr">
        <is>
          <t>واحد</t>
        </is>
      </c>
    </row>
    <row r="148">
      <c r="C148" t="inlineStr">
        <is>
          <t>عیار کنسانتره مس</t>
        </is>
      </c>
      <c r="D148" t="n">
        <v>25</v>
      </c>
      <c r="E148" t="inlineStr">
        <is>
          <t>% Cu</t>
        </is>
      </c>
    </row>
    <row r="149">
      <c r="C149" t="inlineStr">
        <is>
          <t>خلوص کاتد</t>
        </is>
      </c>
      <c r="D149" t="n">
        <v>99.98999999999999</v>
      </c>
      <c r="E149" t="inlineStr">
        <is>
          <t>% Cu</t>
        </is>
      </c>
    </row>
    <row r="150">
      <c r="C150" t="inlineStr">
        <is>
          <t>غلظت اسید سولفوریک</t>
        </is>
      </c>
      <c r="D150" t="n">
        <v>98</v>
      </c>
      <c r="E150" t="inlineStr">
        <is>
          <t>%</t>
        </is>
      </c>
    </row>
    <row r="151">
      <c r="C151" t="inlineStr">
        <is>
          <t>غلظت اسید فسفریک</t>
        </is>
      </c>
      <c r="D151" t="n">
        <v>54</v>
      </c>
      <c r="E151" t="inlineStr">
        <is>
          <t>% P2O5</t>
        </is>
      </c>
    </row>
    <row r="152">
      <c r="C152" t="inlineStr">
        <is>
          <t>ضریب در دسترس بودن</t>
        </is>
      </c>
      <c r="D152" t="n">
        <v>92</v>
      </c>
      <c r="E152" t="inlineStr">
        <is>
          <t>%</t>
        </is>
      </c>
    </row>
    <row r="153">
      <c r="C153" t="inlineStr">
        <is>
          <t>ساعات کاری سالانه</t>
        </is>
      </c>
      <c r="D153" t="n">
        <v>8060</v>
      </c>
      <c r="E153" t="inlineStr">
        <is>
          <t>ساعت</t>
        </is>
      </c>
    </row>
    <row r="154">
      <c r="C154" t="inlineStr">
        <is>
          <t>بازیابی مس</t>
        </is>
      </c>
      <c r="D154" t="n">
        <v>97.5</v>
      </c>
      <c r="E154" t="inlineStr">
        <is>
          <t>%</t>
        </is>
      </c>
    </row>
    <row r="155">
      <c r="C155" t="inlineStr">
        <is>
          <t>بازیابی فلزات گرانبها</t>
        </is>
      </c>
      <c r="D155" t="n">
        <v>95</v>
      </c>
      <c r="E155" t="inlineStr">
        <is>
          <t>%</t>
        </is>
      </c>
    </row>
    <row r="156">
      <c r="C156" t="inlineStr">
        <is>
          <t>مصرف انرژی به ازای هر تن کاتد</t>
        </is>
      </c>
      <c r="D156" t="n">
        <v>6250</v>
      </c>
      <c r="E156" t="inlineStr">
        <is>
          <t>kWh/تن</t>
        </is>
      </c>
    </row>
    <row r="157">
      <c r="C157" t="inlineStr">
        <is>
          <t>مصرف آب به ازای هر تن کاتد</t>
        </is>
      </c>
      <c r="D157" t="n">
        <v>62.5</v>
      </c>
      <c r="E157" t="inlineStr">
        <is>
          <t>m3/تن</t>
        </is>
      </c>
    </row>
    <row r="158">
      <c r="C158" t="inlineStr">
        <is>
          <t>مساحت زمین</t>
        </is>
      </c>
      <c r="D158" t="n">
        <v>450</v>
      </c>
      <c r="E158" t="inlineStr">
        <is>
          <t>هکتار</t>
        </is>
      </c>
    </row>
    <row r="159">
      <c r="C159" t="inlineStr">
        <is>
          <t>مساحت ساختمان</t>
        </is>
      </c>
      <c r="D159" t="n">
        <v>185000</v>
      </c>
      <c r="E159" t="inlineStr">
        <is>
          <t>متر مربع</t>
        </is>
      </c>
    </row>
    <row r="160">
      <c r="C160" t="inlineStr">
        <is>
          <t>تکنولوژی فرآیند</t>
        </is>
      </c>
      <c r="D160" t="inlineStr">
        <is>
          <t>Flash Smelting + SX-EW</t>
        </is>
      </c>
      <c r="E160" t="inlineStr">
        <is>
          <t>-</t>
        </is>
      </c>
    </row>
    <row r="161">
      <c r="C161" t="inlineStr">
        <is>
          <t>تامین کننده تکنولوژی</t>
        </is>
      </c>
      <c r="D161" t="inlineStr">
        <is>
          <t>Outotec/Metso</t>
        </is>
      </c>
      <c r="E161" t="inlineStr">
        <is>
          <t>-</t>
        </is>
      </c>
    </row>
    <row r="168">
      <c r="C168" t="inlineStr">
        <is>
          <t>برنامه زمانبندی ساخت</t>
        </is>
      </c>
    </row>
    <row r="169">
      <c r="C169" t="inlineStr">
        <is>
          <t>فاز</t>
        </is>
      </c>
      <c r="D169" t="inlineStr">
        <is>
          <t>مدت زمان (ماه)</t>
        </is>
      </c>
      <c r="E169" t="inlineStr">
        <is>
          <t>سرمایه گذاری (میلیون EUR)</t>
        </is>
      </c>
      <c r="F169" t="inlineStr">
        <is>
          <t>درصد از کل</t>
        </is>
      </c>
    </row>
    <row r="170">
      <c r="C170" t="inlineStr">
        <is>
          <t>فاز 1: مهندسی مقدماتی و طراحی</t>
        </is>
      </c>
      <c r="D170" t="n">
        <v>8</v>
      </c>
      <c r="E170" t="n">
        <v>82</v>
      </c>
      <c r="F170" t="inlineStr">
        <is>
          <t>4%</t>
        </is>
      </c>
    </row>
    <row r="171">
      <c r="C171" t="inlineStr">
        <is>
          <t>فاز 2: مهندسی تفصیلی</t>
        </is>
      </c>
      <c r="D171" t="n">
        <v>10</v>
      </c>
      <c r="E171" t="n">
        <v>164</v>
      </c>
      <c r="F171" t="inlineStr">
        <is>
          <t>8%</t>
        </is>
      </c>
    </row>
    <row r="172">
      <c r="C172" t="inlineStr">
        <is>
          <t>فاز 3: آماده سازی سایت</t>
        </is>
      </c>
      <c r="D172" t="n">
        <v>6</v>
      </c>
      <c r="E172" t="n">
        <v>123</v>
      </c>
      <c r="F172" t="inlineStr">
        <is>
          <t>6%</t>
        </is>
      </c>
    </row>
    <row r="173">
      <c r="C173" t="inlineStr">
        <is>
          <t>فاز 4: عملیات عمرانی</t>
        </is>
      </c>
      <c r="D173" t="n">
        <v>18</v>
      </c>
      <c r="E173" t="n">
        <v>287</v>
      </c>
      <c r="F173" t="inlineStr">
        <is>
          <t>14%</t>
        </is>
      </c>
    </row>
    <row r="174">
      <c r="C174" t="inlineStr">
        <is>
          <t>فاز 5: تامین تجهیزات</t>
        </is>
      </c>
      <c r="D174" t="n">
        <v>24</v>
      </c>
      <c r="E174" t="n">
        <v>1025</v>
      </c>
      <c r="F174" t="inlineStr">
        <is>
          <t>50%</t>
        </is>
      </c>
    </row>
    <row r="175">
      <c r="C175" t="inlineStr">
        <is>
          <t>فاز 6: نصب و راه اندازی</t>
        </is>
      </c>
      <c r="D175" t="n">
        <v>14</v>
      </c>
      <c r="E175" t="n">
        <v>246</v>
      </c>
      <c r="F175" t="inlineStr">
        <is>
          <t>12%</t>
        </is>
      </c>
    </row>
    <row r="176">
      <c r="C176" t="inlineStr">
        <is>
          <t>فاز 7: پیش راه اندازی</t>
        </is>
      </c>
      <c r="D176" t="n">
        <v>4</v>
      </c>
      <c r="E176" t="n">
        <v>100</v>
      </c>
      <c r="F176" t="inlineStr">
        <is>
          <t>5%</t>
        </is>
      </c>
    </row>
    <row r="177">
      <c r="C177" t="inlineStr">
        <is>
          <t>فاز 8: راه اندازی و استارت آپ</t>
        </is>
      </c>
      <c r="D177" t="n">
        <v>6</v>
      </c>
      <c r="E177" t="n">
        <v>23</v>
      </c>
      <c r="F177" t="inlineStr">
        <is>
          <t>1%</t>
        </is>
      </c>
    </row>
    <row r="178">
      <c r="C178" t="inlineStr">
        <is>
          <t>مجموع</t>
        </is>
      </c>
      <c r="D178" t="n">
        <v>36</v>
      </c>
      <c r="E178">
        <f>SUM(E170:E177)</f>
        <v/>
      </c>
      <c r="F178" t="inlineStr">
        <is>
          <t>100%</t>
        </is>
      </c>
    </row>
    <row r="180">
      <c r="C180" t="inlineStr">
        <is>
          <t>نقاط عطف پروژه</t>
        </is>
      </c>
    </row>
    <row r="181">
      <c r="C181" t="inlineStr">
        <is>
          <t>شروع ساخت</t>
        </is>
      </c>
      <c r="D181" t="inlineStr">
        <is>
          <t>ماه 0</t>
        </is>
      </c>
    </row>
    <row r="182">
      <c r="C182" t="inlineStr">
        <is>
          <t>اتمام مهندسی</t>
        </is>
      </c>
      <c r="D182" t="inlineStr">
        <is>
          <t>ماه 18</t>
        </is>
      </c>
    </row>
    <row r="183">
      <c r="C183" t="inlineStr">
        <is>
          <t>شروع نصب تجهیزات اصلی</t>
        </is>
      </c>
      <c r="D183" t="inlineStr">
        <is>
          <t>ماه 12</t>
        </is>
      </c>
    </row>
    <row r="184">
      <c r="C184" t="inlineStr">
        <is>
          <t>اتمام ساخت</t>
        </is>
      </c>
      <c r="D184" t="inlineStr">
        <is>
          <t>ماه 30</t>
        </is>
      </c>
    </row>
    <row r="185">
      <c r="C185" t="inlineStr">
        <is>
          <t>راه اندازی تجاری</t>
        </is>
      </c>
      <c r="D185" t="inlineStr">
        <is>
          <t>ماه 36</t>
        </is>
      </c>
    </row>
    <row r="188">
      <c r="C188" s="14" t="inlineStr">
        <is>
          <t>سال 1</t>
        </is>
      </c>
      <c r="D188" s="105" t="n">
        <v>-746033277</v>
      </c>
      <c r="AB188" s="108" t="inlineStr">
        <is>
          <t>مجموع</t>
        </is>
      </c>
      <c r="AC188" s="107" t="n"/>
      <c r="AD188" s="93" t="n">
        <v>25456039</v>
      </c>
    </row>
    <row r="189">
      <c r="C189" s="14" t="inlineStr">
        <is>
          <t>سال 2</t>
        </is>
      </c>
      <c r="D189" s="105" t="n">
        <v>-447619966</v>
      </c>
    </row>
    <row r="190">
      <c r="C190" s="14" t="inlineStr">
        <is>
          <t>سال 3</t>
        </is>
      </c>
      <c r="D190" s="105" t="n">
        <v>-298413311</v>
      </c>
      <c r="AB190" s="49" t="inlineStr">
        <is>
          <t>ردیف</t>
        </is>
      </c>
      <c r="AC190" s="72" t="inlineStr">
        <is>
          <t>شرح</t>
        </is>
      </c>
      <c r="AD190" s="49" t="inlineStr">
        <is>
          <t>یورو در سال</t>
        </is>
      </c>
    </row>
    <row r="191">
      <c r="C191" s="14" t="inlineStr">
        <is>
          <t>سال 4</t>
        </is>
      </c>
      <c r="D191" s="105" t="n">
        <v>139072884</v>
      </c>
      <c r="AB191" s="41" t="n">
        <v>1</v>
      </c>
      <c r="AC191" s="59" t="inlineStr">
        <is>
          <t>مواد مصرفی</t>
        </is>
      </c>
      <c r="AD191" s="94" t="n">
        <v>3525253</v>
      </c>
    </row>
    <row r="192">
      <c r="C192" s="14" t="inlineStr">
        <is>
          <t>سال 5</t>
        </is>
      </c>
      <c r="D192" s="105" t="n">
        <v>171166626</v>
      </c>
      <c r="AB192" s="41" t="n">
        <v>2</v>
      </c>
      <c r="AC192" s="115" t="n"/>
      <c r="AD192" s="94" t="n">
        <v>19854</v>
      </c>
    </row>
    <row r="193">
      <c r="C193" s="14" t="inlineStr">
        <is>
          <t>سال 6</t>
        </is>
      </c>
      <c r="D193" s="105" t="n">
        <v>192562455</v>
      </c>
      <c r="AB193" s="41" t="n">
        <v>3</v>
      </c>
      <c r="AC193" s="59" t="inlineStr">
        <is>
          <t>برق</t>
        </is>
      </c>
      <c r="AD193" s="94" t="n">
        <v>3063337</v>
      </c>
    </row>
    <row r="194">
      <c r="C194" s="14" t="inlineStr">
        <is>
          <t>سال 7</t>
        </is>
      </c>
      <c r="D194" s="105" t="n">
        <v>213958283</v>
      </c>
      <c r="AB194" s="41" t="n">
        <v>4</v>
      </c>
      <c r="AC194" s="59" t="inlineStr">
        <is>
          <t>آب</t>
        </is>
      </c>
      <c r="AD194" s="94" t="n">
        <v>1090566</v>
      </c>
    </row>
    <row r="195">
      <c r="C195" s="14" t="inlineStr">
        <is>
          <t>سال 8</t>
        </is>
      </c>
      <c r="D195" s="105" t="n">
        <v>213958283</v>
      </c>
      <c r="AB195" s="41" t="n">
        <v>5</v>
      </c>
      <c r="AC195" s="59" t="inlineStr">
        <is>
          <t>نیروی کار مستقیم</t>
        </is>
      </c>
      <c r="AD195" s="94" t="n">
        <v>10714068</v>
      </c>
    </row>
    <row r="196">
      <c r="C196" s="14" t="inlineStr">
        <is>
          <t>سال 9</t>
        </is>
      </c>
      <c r="D196" s="105" t="n">
        <v>213958283</v>
      </c>
      <c r="AB196" s="41" t="n">
        <v>6</v>
      </c>
      <c r="AC196" s="59" t="inlineStr">
        <is>
          <t>حمل و نقل</t>
        </is>
      </c>
      <c r="AD196" s="95" t="n">
        <v>0</v>
      </c>
    </row>
    <row r="197">
      <c r="C197" s="21" t="inlineStr">
        <is>
          <t>سال 10</t>
        </is>
      </c>
      <c r="D197" s="105" t="n">
        <v>213958283</v>
      </c>
      <c r="AB197" s="41" t="n">
        <v>7</v>
      </c>
      <c r="AC197" s="59" t="inlineStr">
        <is>
          <t>نگهداری (5 درصد)</t>
        </is>
      </c>
      <c r="AD197" s="94" t="n">
        <v>16867888</v>
      </c>
    </row>
    <row r="198">
      <c r="D198" s="7" t="n">
        <v>213958283</v>
      </c>
      <c r="AB198" s="41" t="n">
        <v>8</v>
      </c>
      <c r="AC198" s="59" t="inlineStr">
        <is>
          <t>هزینه های پیشبینی نشده</t>
        </is>
      </c>
      <c r="AD198" s="94" t="n">
        <v>3528098</v>
      </c>
    </row>
    <row r="199">
      <c r="C199" s="8" t="inlineStr">
        <is>
          <t>Project ID</t>
        </is>
      </c>
      <c r="D199" s="9" t="n"/>
      <c r="AB199" s="108" t="inlineStr">
        <is>
          <t>مجموع</t>
        </is>
      </c>
      <c r="AC199" s="107" t="n"/>
      <c r="AD199" s="93" t="n">
        <v>38809065</v>
      </c>
    </row>
    <row r="200"/>
    <row r="201">
      <c r="AB201" s="49" t="inlineStr">
        <is>
          <t>ردیف</t>
        </is>
      </c>
      <c r="AC201" s="107" t="n"/>
      <c r="AD201" s="49" t="inlineStr">
        <is>
          <t>یورو در سال</t>
        </is>
      </c>
    </row>
    <row r="202">
      <c r="AB202" s="41" t="n">
        <v>1</v>
      </c>
      <c r="AC202" s="59" t="inlineStr">
        <is>
          <t>مواد مصرفی</t>
        </is>
      </c>
      <c r="AD202" s="50" t="n">
        <v>8426619</v>
      </c>
    </row>
    <row r="203">
      <c r="AB203" s="41" t="n">
        <v>2</v>
      </c>
      <c r="AC203" s="59" t="inlineStr">
        <is>
          <t>برق</t>
        </is>
      </c>
      <c r="AD203" s="50" t="n">
        <v>1299480</v>
      </c>
    </row>
    <row r="204">
      <c r="AB204" s="41" t="n">
        <v>3</v>
      </c>
      <c r="AC204" s="59" t="inlineStr">
        <is>
          <t>آب</t>
        </is>
      </c>
      <c r="AD204" s="50" t="n">
        <v>156647</v>
      </c>
    </row>
    <row r="205">
      <c r="AB205" s="41" t="n">
        <v>4</v>
      </c>
      <c r="AC205" s="59" t="inlineStr">
        <is>
          <t>نیروی کار مستقیم</t>
        </is>
      </c>
      <c r="AD205" s="50" t="n">
        <v>1859575</v>
      </c>
    </row>
    <row r="206">
      <c r="AB206" s="41" t="n">
        <v>5</v>
      </c>
      <c r="AC206" s="59" t="inlineStr">
        <is>
          <t>نگهداری (5 درصد)</t>
        </is>
      </c>
      <c r="AD206" s="50" t="n">
        <v>1627957</v>
      </c>
    </row>
    <row r="207">
      <c r="AB207" s="41" t="n">
        <v>6</v>
      </c>
      <c r="AC207" s="59" t="inlineStr">
        <is>
          <t>هزینه های پیشبینی نشده</t>
        </is>
      </c>
      <c r="AD207" s="50" t="n">
        <v>1337028</v>
      </c>
    </row>
    <row r="208">
      <c r="AB208" s="108" t="inlineStr">
        <is>
          <t>مجموع</t>
        </is>
      </c>
      <c r="AC208" s="107" t="n"/>
      <c r="AD208" s="96" t="n">
        <v>14707305</v>
      </c>
    </row>
    <row r="209"/>
    <row r="210">
      <c r="AB210" s="49" t="inlineStr">
        <is>
          <t>ردیف</t>
        </is>
      </c>
      <c r="AC210" s="72" t="inlineStr">
        <is>
          <t>شرح</t>
        </is>
      </c>
      <c r="AD210" s="49" t="inlineStr">
        <is>
          <t>یورو در سال</t>
        </is>
      </c>
    </row>
    <row r="211">
      <c r="AB211" s="41" t="n">
        <v>1</v>
      </c>
      <c r="AC211" s="59" t="inlineStr">
        <is>
          <t>مواد مصرفی</t>
        </is>
      </c>
      <c r="AD211" s="94" t="n">
        <v>128093</v>
      </c>
    </row>
    <row r="212">
      <c r="AB212" s="41" t="n">
        <v>2</v>
      </c>
      <c r="AC212" s="59" t="inlineStr">
        <is>
          <t>برق</t>
        </is>
      </c>
      <c r="AD212" s="94" t="n">
        <v>6674819</v>
      </c>
    </row>
    <row r="213">
      <c r="AB213" s="41" t="n">
        <v>3</v>
      </c>
      <c r="AC213" s="59" t="inlineStr">
        <is>
          <t>آب</t>
        </is>
      </c>
      <c r="AD213" s="94" t="n">
        <v>4205</v>
      </c>
    </row>
    <row r="214">
      <c r="AB214" s="41" t="n">
        <v>4</v>
      </c>
      <c r="AC214" s="59" t="inlineStr">
        <is>
          <t>نیروی کار مستقیم</t>
        </is>
      </c>
      <c r="AD214" s="94" t="n">
        <v>2786056</v>
      </c>
    </row>
    <row r="215">
      <c r="AB215" s="41" t="n">
        <v>5</v>
      </c>
      <c r="AC215" s="59" t="inlineStr">
        <is>
          <t>نگهداری</t>
        </is>
      </c>
      <c r="AD215" s="94" t="n">
        <v>4445928</v>
      </c>
    </row>
    <row r="216">
      <c r="AB216" s="41" t="n">
        <v>6</v>
      </c>
      <c r="AC216" s="59" t="inlineStr">
        <is>
          <t>پیشبینی نشده</t>
        </is>
      </c>
      <c r="AD216" s="94" t="n">
        <v>1403908</v>
      </c>
    </row>
    <row r="217">
      <c r="AB217" s="108" t="inlineStr">
        <is>
          <t>مجموع</t>
        </is>
      </c>
      <c r="AC217" s="107" t="n"/>
      <c r="AD217" s="93" t="n">
        <v>15443004</v>
      </c>
    </row>
    <row r="218"/>
    <row r="219">
      <c r="AB219" s="61" t="inlineStr">
        <is>
          <t>ردیف</t>
        </is>
      </c>
      <c r="AC219" s="62" t="inlineStr">
        <is>
          <t>شرح</t>
        </is>
      </c>
      <c r="AD219" s="61" t="inlineStr">
        <is>
          <t>یورو در سال</t>
        </is>
      </c>
    </row>
    <row r="220">
      <c r="AB220" s="63" t="n">
        <v>1</v>
      </c>
      <c r="AC220" s="64" t="inlineStr">
        <is>
          <t>گاز طبیعی</t>
        </is>
      </c>
      <c r="AD220" s="97" t="n">
        <v>2925026</v>
      </c>
    </row>
    <row r="221">
      <c r="AB221" s="63" t="n">
        <v>2</v>
      </c>
      <c r="AC221" s="64" t="inlineStr">
        <is>
          <t>برق</t>
        </is>
      </c>
      <c r="AD221" s="97" t="n">
        <v>689102</v>
      </c>
    </row>
    <row r="222">
      <c r="AB222" s="63" t="n">
        <v>3</v>
      </c>
      <c r="AC222" s="64" t="inlineStr">
        <is>
          <t>آب</t>
        </is>
      </c>
      <c r="AD222" s="97" t="n">
        <v>117701</v>
      </c>
    </row>
    <row r="223">
      <c r="AB223" s="63" t="n">
        <v>4</v>
      </c>
      <c r="AC223" s="64" t="inlineStr">
        <is>
          <t>نیروی کار مستقیم</t>
        </is>
      </c>
      <c r="AD223" s="97" t="n">
        <v>8252281</v>
      </c>
    </row>
    <row r="224">
      <c r="AB224" s="63" t="n">
        <v>5</v>
      </c>
      <c r="AC224" s="64" t="inlineStr">
        <is>
          <t>نگهداری</t>
        </is>
      </c>
      <c r="AD224" s="97" t="n">
        <v>22331145</v>
      </c>
    </row>
    <row r="225">
      <c r="AB225" s="63" t="n">
        <v>6</v>
      </c>
      <c r="AC225" s="64" t="inlineStr">
        <is>
          <t>پیشبینی نشده</t>
        </is>
      </c>
      <c r="AD225" s="97" t="n">
        <v>3431526</v>
      </c>
    </row>
    <row r="226">
      <c r="AB226" s="109" t="inlineStr">
        <is>
          <t>مجموع</t>
        </is>
      </c>
      <c r="AC226" s="107" t="n"/>
      <c r="AD226" s="98" t="n">
        <v>37746791</v>
      </c>
    </row>
  </sheetData>
  <mergeCells count="15">
    <mergeCell ref="AB40:AC40"/>
    <mergeCell ref="C46:D46"/>
    <mergeCell ref="AB78:AC78"/>
    <mergeCell ref="AB69:AC69"/>
    <mergeCell ref="C15:D15"/>
    <mergeCell ref="AB87:AC87"/>
    <mergeCell ref="AB58:AC58"/>
    <mergeCell ref="C5:D5"/>
    <mergeCell ref="C57:D57"/>
    <mergeCell ref="Z4:Z5"/>
    <mergeCell ref="C36:D36"/>
    <mergeCell ref="U4:U5"/>
    <mergeCell ref="C26:D26"/>
    <mergeCell ref="AB49:AC49"/>
    <mergeCell ref="AB96:AC96"/>
  </mergeCells>
  <dataValidations count="3">
    <dataValidation sqref="D28" showDropDown="0" showInputMessage="1" showErrorMessage="1" allowBlank="0" prompt="In % Between 0 to 100" type="whole">
      <formula1>0</formula1>
      <formula2>1</formula2>
    </dataValidation>
    <dataValidation sqref="D17:D24" showDropDown="0" showInputMessage="1" showErrorMessage="1" allowBlank="0" prompt="All financial figures should be in Million Euros" type="whole" operator="greaterThan">
      <formula1>0</formula1>
    </dataValidation>
    <dataValidation sqref="D9" showDropDown="0" showInputMessage="1" showErrorMessage="1" allowBlank="0" prompt="0 to 100 %" type="whole">
      <formula1>0</formula1>
      <formula2>1</formula2>
    </dataValidation>
  </dataValidations>
  <pageMargins left="0.7" right="0.7" top="0.75" bottom="0.75" header="0.3" footer="0.3"/>
  <pageSetup orientation="portrait" paperSize="9" scale="4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0"/>
  <sheetViews>
    <sheetView workbookViewId="0">
      <selection activeCell="D45" sqref="D45"/>
    </sheetView>
  </sheetViews>
  <sheetFormatPr baseColWidth="8" defaultColWidth="9.125" defaultRowHeight="14.25"/>
  <cols>
    <col width="5.125" customWidth="1" style="1" min="1" max="1"/>
    <col width="31" bestFit="1" customWidth="1" style="1" min="2" max="2"/>
    <col width="82.625" customWidth="1" style="3" min="3" max="3"/>
    <col width="7.375" customWidth="1" style="1" min="4" max="4"/>
    <col width="9.125" customWidth="1" style="1" min="5" max="16384"/>
  </cols>
  <sheetData>
    <row r="1" ht="15" customHeight="1" s="1" thickBot="1"/>
    <row r="2">
      <c r="B2" s="33" t="inlineStr">
        <is>
          <t>Project Title:</t>
        </is>
      </c>
      <c r="C2" s="84" t="inlineStr">
        <is>
          <t>Makran 400,000 ton/year cathode project</t>
        </is>
      </c>
    </row>
    <row r="3" ht="15" customHeight="1" s="1" thickBot="1">
      <c r="B3" s="34" t="inlineStr">
        <is>
          <t>Project Sub Title:</t>
        </is>
      </c>
      <c r="C3" s="85" t="inlineStr">
        <is>
          <t>Chabahar Smelting and Phosphoric Acid Complex</t>
        </is>
      </c>
    </row>
    <row r="4" ht="15" customHeight="1" s="1" thickBot="1"/>
    <row r="5" ht="15" customHeight="1" s="1">
      <c r="B5" s="110" t="inlineStr">
        <is>
          <t>Project summary</t>
        </is>
      </c>
      <c r="C5" s="111" t="n"/>
    </row>
    <row r="6">
      <c r="B6" s="35" t="inlineStr">
        <is>
          <t>Industry:</t>
        </is>
      </c>
      <c r="C6" s="86" t="inlineStr">
        <is>
          <t>Copper and Non-Ferrous Metals</t>
        </is>
      </c>
    </row>
    <row r="7">
      <c r="B7" s="35" t="inlineStr">
        <is>
          <t>Sub-industry:</t>
        </is>
      </c>
      <c r="C7" s="86" t="inlineStr">
        <is>
          <t>Downstream Copper Industry</t>
        </is>
      </c>
    </row>
    <row r="8">
      <c r="B8" s="35" t="inlineStr">
        <is>
          <t>Location:</t>
        </is>
      </c>
      <c r="C8" s="86" t="inlineStr">
        <is>
          <t>Chabahar Free Zone</t>
        </is>
      </c>
    </row>
    <row r="9">
      <c r="B9" s="35" t="inlineStr">
        <is>
          <t>Project Completion Percentage:</t>
        </is>
      </c>
      <c r="C9" s="87" t="n">
        <v>0</v>
      </c>
    </row>
    <row r="10">
      <c r="B10" s="35" t="inlineStr">
        <is>
          <t>project description</t>
        </is>
      </c>
      <c r="C10" s="88" t="inlineStr">
        <is>
          <t>defined with the goal of achieving  annual production of 1,000,000 tons of copper cathode for NICICo</t>
        </is>
      </c>
    </row>
    <row r="11">
      <c r="B11" s="35" t="inlineStr">
        <is>
          <t>Project Execution status</t>
        </is>
      </c>
      <c r="C11" s="89" t="inlineStr">
        <is>
          <t>Stopped</t>
        </is>
      </c>
    </row>
    <row r="12">
      <c r="B12" s="35" t="inlineStr">
        <is>
          <t>Financing status</t>
        </is>
      </c>
      <c r="C12" s="89" t="inlineStr">
        <is>
          <t>No action has been taken</t>
        </is>
      </c>
    </row>
    <row r="13" ht="15" customHeight="1" s="1" thickBot="1">
      <c r="B13" s="34" t="inlineStr">
        <is>
          <t xml:space="preserve">Key risks </t>
        </is>
      </c>
      <c r="C13" s="90" t="inlineStr">
        <is>
          <t>Financial and feedstock supply limitations</t>
        </is>
      </c>
    </row>
    <row r="14" ht="15" customHeight="1" s="1" thickBot="1"/>
    <row r="15" ht="15" customHeight="1" s="1">
      <c r="B15" s="110" t="inlineStr">
        <is>
          <t>CapEx Breakdown</t>
        </is>
      </c>
      <c r="C15" s="111" t="n"/>
    </row>
    <row r="16" ht="15" customHeight="1" s="1">
      <c r="B16" s="38" t="inlineStr">
        <is>
          <t>Category</t>
        </is>
      </c>
      <c r="C16" s="39" t="inlineStr">
        <is>
          <t>amount</t>
        </is>
      </c>
    </row>
    <row r="17">
      <c r="B17" s="35" t="inlineStr">
        <is>
          <t>Total investment</t>
        </is>
      </c>
      <c r="C17" s="112">
        <f>FA!D17</f>
        <v/>
      </c>
    </row>
    <row r="18">
      <c r="B18" s="35" t="inlineStr">
        <is>
          <t>Engineering &amp; know-how</t>
        </is>
      </c>
      <c r="C18" s="112">
        <f>FA!D18</f>
        <v/>
      </c>
    </row>
    <row r="19">
      <c r="B19" s="35" t="inlineStr">
        <is>
          <t>equipment</t>
        </is>
      </c>
      <c r="C19" s="112">
        <f>FA!D19</f>
        <v/>
      </c>
    </row>
    <row r="20">
      <c r="B20" s="35" t="inlineStr">
        <is>
          <t>construction and commissioning</t>
        </is>
      </c>
      <c r="C20" s="112">
        <f>FA!D20</f>
        <v/>
      </c>
    </row>
    <row r="21">
      <c r="B21" s="35" t="inlineStr">
        <is>
          <t>Utilities</t>
        </is>
      </c>
      <c r="C21" s="112">
        <f>FA!D21</f>
        <v/>
      </c>
    </row>
    <row r="22">
      <c r="B22" s="35" t="inlineStr">
        <is>
          <t>Pre-operation expenses</t>
        </is>
      </c>
      <c r="C22" s="112">
        <f>FA!D22</f>
        <v/>
      </c>
    </row>
    <row r="23">
      <c r="B23" s="35" t="inlineStr">
        <is>
          <t>Contingencies</t>
        </is>
      </c>
      <c r="C23" s="112">
        <f>FA!D23</f>
        <v/>
      </c>
    </row>
    <row r="24" ht="15" customHeight="1" s="1" thickBot="1">
      <c r="B24" s="34" t="inlineStr">
        <is>
          <t>working capital</t>
        </is>
      </c>
      <c r="C24" s="112">
        <f>FA!D24</f>
        <v/>
      </c>
    </row>
    <row r="25" ht="15" customHeight="1" s="1" thickBot="1"/>
    <row r="26" ht="15" customHeight="1" s="1">
      <c r="B26" s="110" t="inlineStr">
        <is>
          <t>Investment analysis</t>
        </is>
      </c>
      <c r="C26" s="111" t="n"/>
    </row>
    <row r="27" ht="15" customHeight="1" s="1">
      <c r="B27" s="38" t="inlineStr">
        <is>
          <t>metric</t>
        </is>
      </c>
      <c r="C27" s="39" t="inlineStr">
        <is>
          <t>value</t>
        </is>
      </c>
    </row>
    <row r="28">
      <c r="B28" s="35" t="inlineStr">
        <is>
          <t>% investment in foreign currency</t>
        </is>
      </c>
      <c r="C28" s="91">
        <f>FA!D28</f>
        <v/>
      </c>
    </row>
    <row r="29">
      <c r="B29" s="35" t="inlineStr">
        <is>
          <t>construction period (years)</t>
        </is>
      </c>
      <c r="C29" s="83" t="n">
        <v>3</v>
      </c>
    </row>
    <row r="30">
      <c r="B30" s="35" t="inlineStr">
        <is>
          <t>payback period (years)</t>
        </is>
      </c>
      <c r="C30" s="83" t="n">
        <v>20</v>
      </c>
    </row>
    <row r="31">
      <c r="B31" s="35" t="inlineStr">
        <is>
          <t>operating income (EBIT)</t>
        </is>
      </c>
      <c r="C31" s="83" t="n"/>
    </row>
    <row r="32">
      <c r="B32" s="35" t="inlineStr">
        <is>
          <t>Net income</t>
        </is>
      </c>
      <c r="C32" s="83" t="n"/>
    </row>
    <row r="33">
      <c r="B33" s="35" t="inlineStr">
        <is>
          <t>Internal rate of return (IRR)</t>
        </is>
      </c>
      <c r="C33" s="91" t="n">
        <v>0.23</v>
      </c>
    </row>
    <row r="34" ht="15" customHeight="1" s="1" thickBot="1">
      <c r="B34" s="34" t="inlineStr">
        <is>
          <t>NPV at 10% Discount rate</t>
        </is>
      </c>
      <c r="C34" s="92" t="inlineStr">
        <is>
          <t>2,067 million Euro</t>
        </is>
      </c>
    </row>
    <row r="35" ht="15" customHeight="1" s="1" thickBot="1"/>
    <row r="36" ht="15" customHeight="1" s="1">
      <c r="B36" s="110" t="inlineStr">
        <is>
          <t>Revenue Breakdown</t>
        </is>
      </c>
      <c r="C36" s="111" t="n"/>
    </row>
    <row r="37" ht="15" customHeight="1" s="1">
      <c r="B37" s="38" t="inlineStr">
        <is>
          <t xml:space="preserve">Product </t>
        </is>
      </c>
      <c r="C37" s="39" t="inlineStr">
        <is>
          <t>Capacity (Unit of measure)</t>
        </is>
      </c>
    </row>
    <row r="38">
      <c r="B38" s="36" t="inlineStr">
        <is>
          <t>Copper Cathode</t>
        </is>
      </c>
      <c r="C38" s="83" t="inlineStr">
        <is>
          <t>400,000 ton/year</t>
        </is>
      </c>
    </row>
    <row r="39">
      <c r="B39" s="36" t="inlineStr">
        <is>
          <t>Sulphuric Acid</t>
        </is>
      </c>
      <c r="C39" s="83" t="inlineStr">
        <is>
          <t>1,720,000 ton/year</t>
        </is>
      </c>
    </row>
    <row r="40">
      <c r="B40" s="36" t="inlineStr">
        <is>
          <t>Phosphoric Acid</t>
        </is>
      </c>
      <c r="C40" s="83" t="inlineStr">
        <is>
          <t>570,000 ton/year</t>
        </is>
      </c>
    </row>
    <row r="41">
      <c r="B41" s="36" t="inlineStr">
        <is>
          <t>Anode Slime</t>
        </is>
      </c>
      <c r="C41" s="83" t="inlineStr">
        <is>
          <t>1,200 ton/year</t>
        </is>
      </c>
    </row>
    <row r="42">
      <c r="B42" s="35" t="inlineStr">
        <is>
          <t>annual Revenue</t>
        </is>
      </c>
      <c r="C42" s="83" t="inlineStr">
        <is>
          <t>5,150 million Euro</t>
        </is>
      </c>
    </row>
    <row r="43">
      <c r="B43" s="35" t="inlineStr">
        <is>
          <t>% revenue in Foreign currency</t>
        </is>
      </c>
      <c r="C43" s="83" t="n">
        <v>100</v>
      </c>
    </row>
    <row r="44" ht="15" customHeight="1" s="1" thickBot="1">
      <c r="B44" s="34" t="inlineStr">
        <is>
          <t>Target Market</t>
        </is>
      </c>
      <c r="C44" s="83" t="inlineStr">
        <is>
          <t>Export</t>
        </is>
      </c>
    </row>
    <row r="45" ht="15" customHeight="1" s="1" thickBot="1"/>
    <row r="46" ht="15" customHeight="1" s="1">
      <c r="B46" s="110" t="inlineStr">
        <is>
          <t>Expenses breakdown</t>
        </is>
      </c>
      <c r="C46" s="111" t="n"/>
    </row>
    <row r="47" ht="15" customHeight="1" s="1">
      <c r="B47" s="38" t="inlineStr">
        <is>
          <t>Category</t>
        </is>
      </c>
      <c r="C47" s="101" t="inlineStr">
        <is>
          <t>Euro</t>
        </is>
      </c>
    </row>
    <row r="48">
      <c r="B48" s="35" t="inlineStr">
        <is>
          <t>Feed</t>
        </is>
      </c>
      <c r="C48" s="99">
        <f>FA!D48</f>
        <v/>
      </c>
    </row>
    <row r="49">
      <c r="B49" s="35" t="inlineStr">
        <is>
          <t>Utilities</t>
        </is>
      </c>
      <c r="C49" s="99">
        <f>FA!D49</f>
        <v/>
      </c>
    </row>
    <row r="50">
      <c r="B50" s="35" t="inlineStr">
        <is>
          <t>Personnel</t>
        </is>
      </c>
      <c r="C50" s="99">
        <f>FA!D50</f>
        <v/>
      </c>
    </row>
    <row r="51">
      <c r="B51" s="35" t="inlineStr">
        <is>
          <t>Marketing, Sales &amp; Logistics</t>
        </is>
      </c>
      <c r="C51" s="99">
        <f>FA!D51</f>
        <v/>
      </c>
    </row>
    <row r="52">
      <c r="B52" s="35" t="inlineStr">
        <is>
          <t>Maintenance</t>
        </is>
      </c>
      <c r="C52" s="99">
        <f>FA!D52</f>
        <v/>
      </c>
    </row>
    <row r="53">
      <c r="B53" s="35" t="inlineStr">
        <is>
          <t>Other expanses</t>
        </is>
      </c>
      <c r="C53" s="99">
        <f>FA!D53</f>
        <v/>
      </c>
    </row>
    <row r="54">
      <c r="B54" s="35" t="inlineStr">
        <is>
          <t>annual expenses</t>
        </is>
      </c>
      <c r="C54" s="99">
        <f>FA!D54</f>
        <v/>
      </c>
    </row>
    <row r="55" ht="15" customHeight="1" s="1" thickBot="1">
      <c r="B55" s="34" t="inlineStr">
        <is>
          <t>% expenses in foreign currency</t>
        </is>
      </c>
      <c r="C55" s="100">
        <f>FA!D55</f>
        <v/>
      </c>
    </row>
    <row r="56" ht="15" customHeight="1" s="1" thickBot="1"/>
    <row r="57" ht="15" customHeight="1" s="1">
      <c r="B57" s="110" t="inlineStr">
        <is>
          <t>Cash Flow</t>
        </is>
      </c>
      <c r="C57" s="111" t="n"/>
    </row>
    <row r="58">
      <c r="B58" s="113" t="n"/>
      <c r="C58" s="80" t="inlineStr">
        <is>
          <t>Cash Flow</t>
        </is>
      </c>
    </row>
    <row r="59">
      <c r="B59" s="35" t="inlineStr">
        <is>
          <t>Year 1</t>
        </is>
      </c>
      <c r="C59" s="112">
        <f>FA!D58</f>
        <v/>
      </c>
    </row>
    <row r="60">
      <c r="B60" s="35" t="inlineStr">
        <is>
          <t>Year 2</t>
        </is>
      </c>
      <c r="C60" s="112">
        <f>FA!D59</f>
        <v/>
      </c>
    </row>
    <row r="61">
      <c r="B61" s="35" t="inlineStr">
        <is>
          <t>Year 3</t>
        </is>
      </c>
      <c r="C61" s="112">
        <f>FA!D60</f>
        <v/>
      </c>
    </row>
    <row r="62">
      <c r="B62" s="35" t="inlineStr">
        <is>
          <t>Year 4</t>
        </is>
      </c>
      <c r="C62" s="112">
        <f>FA!D61</f>
        <v/>
      </c>
    </row>
    <row r="63">
      <c r="B63" s="35" t="inlineStr">
        <is>
          <t>Year 5</t>
        </is>
      </c>
      <c r="C63" s="112">
        <f>FA!D62</f>
        <v/>
      </c>
    </row>
    <row r="64">
      <c r="B64" s="35" t="inlineStr">
        <is>
          <t>Year 6</t>
        </is>
      </c>
      <c r="C64" s="112">
        <f>FA!D63</f>
        <v/>
      </c>
    </row>
    <row r="65">
      <c r="B65" s="35" t="inlineStr">
        <is>
          <t>Year 7</t>
        </is>
      </c>
      <c r="C65" s="112">
        <f>FA!D64</f>
        <v/>
      </c>
    </row>
    <row r="66">
      <c r="B66" s="35" t="inlineStr">
        <is>
          <t>Year 8</t>
        </is>
      </c>
      <c r="C66" s="112">
        <f>FA!D65</f>
        <v/>
      </c>
    </row>
    <row r="67">
      <c r="B67" s="35" t="inlineStr">
        <is>
          <t>Year 9</t>
        </is>
      </c>
      <c r="C67" s="112">
        <f>FA!D66</f>
        <v/>
      </c>
    </row>
    <row r="68" ht="15" customHeight="1" s="1" thickBot="1">
      <c r="B68" s="34" t="inlineStr">
        <is>
          <t>Year 10</t>
        </is>
      </c>
      <c r="C68" s="112">
        <f>FA!D67</f>
        <v/>
      </c>
    </row>
    <row r="69" ht="15" customHeight="1" s="1" thickBot="1"/>
    <row r="70" ht="15" customHeight="1" s="1" thickBot="1">
      <c r="B70" s="2" t="inlineStr">
        <is>
          <t>Project ID</t>
        </is>
      </c>
      <c r="C70" s="4" t="n"/>
    </row>
  </sheetData>
  <mergeCells count="6">
    <mergeCell ref="B15:C15"/>
    <mergeCell ref="B5:C5"/>
    <mergeCell ref="B46:C46"/>
    <mergeCell ref="B36:C36"/>
    <mergeCell ref="B26:C26"/>
    <mergeCell ref="B57:C57"/>
  </mergeCells>
  <dataValidations count="3">
    <dataValidation sqref="C28" showDropDown="0" showInputMessage="1" showErrorMessage="1" allowBlank="0" prompt="In % Between 0 to 100" type="whole">
      <formula1>0</formula1>
      <formula2>1</formula2>
    </dataValidation>
    <dataValidation sqref="C17:C24" showDropDown="0" showInputMessage="1" showErrorMessage="1" allowBlank="0" prompt="All financial figures should be in Million Euros" type="whole" operator="greaterThan">
      <formula1>0</formula1>
    </dataValidation>
    <dataValidation sqref="C9" showDropDown="0" showInputMessage="1" showErrorMessage="1" allowBlank="0" prompt="0 to 100 %" type="whole">
      <formula1>0</formula1>
      <formula2>1</formula2>
    </dataValidation>
  </dataValidations>
  <pageMargins left="0.7" right="0.7" top="0.75" bottom="0.75" header="0.3" footer="0.3"/>
  <pageSetup orientation="portrait" paperSize="9" scale="6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Hosein Sadat</dc:creator>
  <dcterms:created xmlns:dcterms="http://purl.org/dc/terms/" xmlns:xsi="http://www.w3.org/2001/XMLSchema-instance" xsi:type="dcterms:W3CDTF">2025-11-05T07:32:36Z</dcterms:created>
  <dcterms:modified xmlns:dcterms="http://purl.org/dc/terms/" xmlns:xsi="http://www.w3.org/2001/XMLSchema-instance" xsi:type="dcterms:W3CDTF">2025-12-08T10:37:03Z</dcterms:modified>
  <cp:lastModifiedBy>Administrator</cp:lastModifiedBy>
  <cp:lastPrinted>2025-12-06T06:35:43Z</cp:lastPrinted>
</cp:coreProperties>
</file>